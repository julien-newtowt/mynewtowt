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wtfrance.sharepoint.com/sites/NASDIRECTIONFLOTTE/Documents partages/Service Technique/10 - Data reporting Noon reports/"/>
    </mc:Choice>
  </mc:AlternateContent>
  <xr:revisionPtr revIDLastSave="37" documentId="13_ncr:1_{0D585B27-0697-47A2-A55B-18B739EAADDF}" xr6:coauthVersionLast="47" xr6:coauthVersionMax="47" xr10:uidLastSave="{8F02DC06-519F-4D1D-9176-7CC690A1742F}"/>
  <bookViews>
    <workbookView xWindow="-98" yWindow="-98" windowWidth="19396" windowHeight="11475" xr2:uid="{0EF6371A-8D11-FC46-83F5-BDB2CA0ED51F}"/>
  </bookViews>
  <sheets>
    <sheet name="Reporting form" sheetId="2" r:id="rId1"/>
    <sheet name="Data" sheetId="3" r:id="rId2"/>
  </sheets>
  <definedNames>
    <definedName name="_xlnm.Print_Area" localSheetId="0">'Reporting form'!$A$1:$I$77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3" i="2"/>
  <c r="B34" i="2"/>
  <c r="B31" i="2"/>
  <c r="C33" i="2"/>
  <c r="C31" i="2"/>
  <c r="C32" i="2"/>
  <c r="C34" i="2"/>
  <c r="E16" i="2" l="1"/>
  <c r="C38" i="2"/>
  <c r="E18" i="2" l="1"/>
</calcChain>
</file>

<file path=xl/sharedStrings.xml><?xml version="1.0" encoding="utf-8"?>
<sst xmlns="http://schemas.openxmlformats.org/spreadsheetml/2006/main" count="188" uniqueCount="137">
  <si>
    <t>OFF</t>
  </si>
  <si>
    <t>ANEMOS</t>
  </si>
  <si>
    <t>ARTEMIS</t>
  </si>
  <si>
    <t>Noon report</t>
  </si>
  <si>
    <t>Departure report</t>
  </si>
  <si>
    <t>ON</t>
  </si>
  <si>
    <t>Arrival Report</t>
  </si>
  <si>
    <t>Vessel name:</t>
  </si>
  <si>
    <t>Type of report:</t>
  </si>
  <si>
    <t>N</t>
  </si>
  <si>
    <t>S</t>
  </si>
  <si>
    <t>E</t>
  </si>
  <si>
    <t>W</t>
  </si>
  <si>
    <t>Date:</t>
  </si>
  <si>
    <t>Time: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</si>
  <si>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</si>
  <si>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</si>
  <si>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</si>
  <si>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</si>
  <si>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</si>
  <si>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</si>
  <si>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</si>
  <si>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</si>
  <si>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</si>
  <si>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</si>
  <si>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</si>
  <si>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</si>
  <si>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UTC+1</t>
  </si>
  <si>
    <t>UTC+2</t>
  </si>
  <si>
    <t>UTC+3</t>
  </si>
  <si>
    <t>UTC+4</t>
  </si>
  <si>
    <t>UTC+5</t>
  </si>
  <si>
    <t>UTC+6</t>
  </si>
  <si>
    <t>UTC+7</t>
  </si>
  <si>
    <t>UTC</t>
  </si>
  <si>
    <t>UTC+8</t>
  </si>
  <si>
    <t>UTC+9</t>
  </si>
  <si>
    <t>UTC+10</t>
  </si>
  <si>
    <t>UTC+11</t>
  </si>
  <si>
    <t>UTC+12</t>
  </si>
  <si>
    <t>Latitude:</t>
  </si>
  <si>
    <t>Longitude:</t>
  </si>
  <si>
    <t>Le Havre</t>
  </si>
  <si>
    <t>New York</t>
  </si>
  <si>
    <t>Quebec</t>
  </si>
  <si>
    <t>Santa Marta</t>
  </si>
  <si>
    <t>Speed from last report</t>
  </si>
  <si>
    <t>Starboard Main Engine</t>
  </si>
  <si>
    <t>Port Main Engine</t>
  </si>
  <si>
    <t>FWD Generator</t>
  </si>
  <si>
    <t>AFT Generator</t>
  </si>
  <si>
    <t>Port Shaft generator</t>
  </si>
  <si>
    <t>Voyage number :</t>
  </si>
  <si>
    <t>Total consumption:</t>
  </si>
  <si>
    <t xml:space="preserve">Weather </t>
  </si>
  <si>
    <t xml:space="preserve">Sails in use </t>
  </si>
  <si>
    <t>J0</t>
  </si>
  <si>
    <t xml:space="preserve">Temperature </t>
  </si>
  <si>
    <t xml:space="preserve">Rel. Humidity </t>
  </si>
  <si>
    <t>Air</t>
  </si>
  <si>
    <t>Midnight</t>
  </si>
  <si>
    <t>Midday</t>
  </si>
  <si>
    <t>Sea water</t>
  </si>
  <si>
    <t>Upper FWD hold</t>
  </si>
  <si>
    <t>Middle FWD hold</t>
  </si>
  <si>
    <t>Lower FWD hold</t>
  </si>
  <si>
    <t>Upper Aft hold</t>
  </si>
  <si>
    <t>Middle Aft hold</t>
  </si>
  <si>
    <t>Lower Aft hold</t>
  </si>
  <si>
    <t>Cellar</t>
  </si>
  <si>
    <t>FWD J1</t>
  </si>
  <si>
    <t>FWD MS</t>
  </si>
  <si>
    <t>AFT J1</t>
  </si>
  <si>
    <t>AFT MS</t>
  </si>
  <si>
    <t>TOWT Reporting Form</t>
  </si>
  <si>
    <t>Ballast</t>
  </si>
  <si>
    <t>Vessel condition:</t>
  </si>
  <si>
    <t>Sail Boost</t>
  </si>
  <si>
    <t>Starboard Shaft Generator</t>
  </si>
  <si>
    <t>Speed from SOSP</t>
  </si>
  <si>
    <t>Comments</t>
  </si>
  <si>
    <t>Laden</t>
  </si>
  <si>
    <t>Partly laden</t>
  </si>
  <si>
    <t>ETA 7,0 kt</t>
  </si>
  <si>
    <t>ETA 7,5 kt</t>
  </si>
  <si>
    <t>ETA 8,0 kt</t>
  </si>
  <si>
    <t>ETA 8,5 kt</t>
  </si>
  <si>
    <t>ETA 9,0 kt</t>
  </si>
  <si>
    <t>Announced ETA</t>
  </si>
  <si>
    <t>ETB</t>
  </si>
  <si>
    <t>Running hours D</t>
  </si>
  <si>
    <t xml:space="preserve">Running hours D-1 </t>
  </si>
  <si>
    <t>TWS (kt)</t>
  </si>
  <si>
    <t>AWA (°)</t>
  </si>
  <si>
    <t>AWS (kt)</t>
  </si>
  <si>
    <t>Ship speed (kt)</t>
  </si>
  <si>
    <t>Sea direction (heading, °)</t>
  </si>
  <si>
    <t>mot de passe</t>
  </si>
  <si>
    <t>NoonReport</t>
  </si>
  <si>
    <t>Deadweight (tonnes)</t>
  </si>
  <si>
    <t>Time from last report (h)</t>
  </si>
  <si>
    <t>Distance from last report (NM)</t>
  </si>
  <si>
    <t>Time from SOSP (h)</t>
  </si>
  <si>
    <t>Distance from SOSP (NM)</t>
  </si>
  <si>
    <t>Distance to go (NM)</t>
  </si>
  <si>
    <t>Running hours (h)</t>
  </si>
  <si>
    <t>DO Consumption (t)</t>
  </si>
  <si>
    <t>Draft Fwd (m)</t>
  </si>
  <si>
    <t>Draft Aft (m)</t>
  </si>
  <si>
    <t>Trim (m)</t>
  </si>
  <si>
    <t>ROB DO (t)</t>
  </si>
  <si>
    <t>ROB Uree (t)</t>
  </si>
  <si>
    <t>ROB FW (t)</t>
  </si>
  <si>
    <t>PRODUCTION FW (t)</t>
  </si>
  <si>
    <t xml:space="preserve">Sea state </t>
  </si>
  <si>
    <t>Comments go here</t>
  </si>
  <si>
    <t>Conso D (L)</t>
  </si>
  <si>
    <t>Conso D-1 (L)</t>
  </si>
  <si>
    <t>ATLANTIS</t>
  </si>
  <si>
    <t>ATLAS</t>
  </si>
  <si>
    <t>Port Shaft generator (h)</t>
  </si>
  <si>
    <t>Starboard Shaft Generator (h)</t>
  </si>
  <si>
    <t>Legend</t>
  </si>
  <si>
    <t>Fill data</t>
  </si>
  <si>
    <t>Field name</t>
  </si>
  <si>
    <t>Do not fill-auto data</t>
  </si>
  <si>
    <t>GO Density (t/m3)</t>
  </si>
  <si>
    <t>3GLY6</t>
  </si>
  <si>
    <t>CFOTE_05 Noon Report</t>
  </si>
  <si>
    <t>Rev 1.0</t>
  </si>
  <si>
    <t>ME PS load (%)</t>
  </si>
  <si>
    <t>ME SB load (%)</t>
  </si>
  <si>
    <t>Previous port UNCODE:</t>
  </si>
  <si>
    <t>Next Port UNCODE:</t>
  </si>
  <si>
    <t>COSTM</t>
  </si>
  <si>
    <t>FRFEC</t>
  </si>
  <si>
    <t>Rev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</si>
</sst>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°\C"/>
    <numFmt numFmtId="165" formatCode="#\ \k\t"/>
    <numFmt numFmtId="166" formatCode="#\ \°"/>
    <numFmt numFmtId="167" formatCode="##\ \'"/>
    <numFmt numFmtId="168" formatCode="0.0\ \k\t"/>
    <numFmt numFmtId="169" formatCode="00\ \k\W"/>
    <numFmt numFmtId="170" formatCode="0.00\ \t"/>
  </numFmts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1" xfId="0" applyFont="1" applyFill="1" applyBorder="1"/>
    <xf numFmtId="20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2" fillId="2" borderId="2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/>
    <xf numFmtId="9" fontId="2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/>
    <xf numFmtId="167" fontId="2" fillId="2" borderId="1" xfId="0" applyNumberFormat="1" applyFont="1" applyFill="1" applyBorder="1"/>
    <xf numFmtId="14" fontId="0" fillId="0" borderId="0" xfId="0" applyNumberFormat="1" applyAlignment="1">
      <alignment horizontal="left"/>
    </xf>
    <xf numFmtId="168" fontId="2" fillId="2" borderId="1" xfId="0" applyNumberFormat="1" applyFont="1" applyFill="1" applyBorder="1" applyAlignment="1">
      <alignment horizontal="center"/>
    </xf>
    <xf numFmtId="169" fontId="2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2" fillId="5" borderId="1" xfId="0" applyFont="1" applyFill="1" applyBorder="1"/>
    <xf numFmtId="0" fontId="0" fillId="2" borderId="0" xfId="0" applyFill="1"/>
    <xf numFmtId="170" fontId="2" fillId="5" borderId="1" xfId="0" applyNumberFormat="1" applyFont="1" applyFill="1" applyBorder="1"/>
    <xf numFmtId="2" fontId="2" fillId="5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0" fillId="0" borderId="0" xfId="0" quotePrefix="1"/>
    <xf numFmtId="0" fontId="2" fillId="2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8" fontId="0" fillId="4" borderId="1" xfId="0" applyNumberFormat="1" applyFill="1" applyBorder="1" applyAlignment="1">
      <alignment horizontal="center" vertical="center"/>
    </xf>
    <xf numFmtId="0" fontId="2" fillId="4" borderId="2" xfId="0" applyFont="1" applyFill="1" applyBorder="1"/>
    <xf numFmtId="0" fontId="0" fillId="2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104490</xdr:colOff>
      <xdr:row>0</xdr:row>
      <xdr:rowOff>31751</xdr:rowOff>
    </xdr:from>
    <xdr:to>
      <xdr:col>0</xdr:col>
      <xdr:colOff>1118209</xdr:colOff>
      <xdr:row>0</xdr:row>
      <xdr:rowOff>452439</xdr:rowOff>
    </xdr:to>
    <xdr:pic>
      <xdr:nvPicPr>
        <xdr:cNvPr id="3" name="Image 2" descr="TOWT - Transport maritime à voile durable">
          <a:extLst>
            <a:ext uri="{FF2B5EF4-FFF2-40B4-BE49-F238E27FC236}">
              <a16:creationId xmlns:a16="http://schemas.microsoft.com/office/drawing/2014/main" id="{E30064F7-7EC3-F385-E10D-3695210C4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90" y="31751"/>
          <a:ext cx="1013719" cy="420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72AF-932D-43FC-86CE-73D1AD0FC16A}">
  <sheetPr>
    <pageSetUpPr fitToPage="1"/>
  </sheetPr>
  <dimension ref="A1:N80"/>
  <sheetViews>
    <sheetView tabSelected="1" view="pageBreakPreview" zoomScale="60" zoomScaleNormal="44" workbookViewId="0">
      <selection activeCell="M8" sqref="M8"/>
    </sheetView>
  </sheetViews>
  <sheetFormatPr baseColWidth="10" defaultRowHeight="15.75" x14ac:dyDescent="0.5"/>
  <cols>
    <col min="1" max="1" width="24" bestFit="1" customWidth="1"/>
    <col min="2" max="2" width="17" customWidth="1"/>
    <col min="3" max="3" width="15.625" bestFit="1" customWidth="1"/>
    <col min="4" max="4" width="16.625" bestFit="1" customWidth="1"/>
    <col min="5" max="5" width="16.375" bestFit="1" customWidth="1"/>
    <col min="6" max="6" width="12.125" customWidth="1"/>
    <col min="9" max="9" width="11.5" bestFit="1" customWidth="1"/>
    <col min="10" max="10" width="23.875" customWidth="1"/>
    <col min="11" max="11" width="14.875" customWidth="1"/>
    <col min="12" max="12" width="17.25" customWidth="1"/>
    <col min="13" max="13" width="16.125" customWidth="1"/>
    <col min="14" max="14" width="16.625" customWidth="1"/>
  </cols>
  <sheetData>
    <row r="1" spans="1:9" ht="42" customHeight="1" thickBot="1" x14ac:dyDescent="0.55000000000000004">
      <c r="A1" s="38" t="s">
        <v>74</v>
      </c>
      <c r="B1" s="39"/>
      <c r="C1" s="39"/>
      <c r="D1" s="39"/>
      <c r="E1" s="39"/>
      <c r="F1" s="39"/>
      <c r="G1" s="39"/>
      <c r="H1" s="39"/>
      <c r="I1" s="40"/>
    </row>
    <row r="3" spans="1:9" x14ac:dyDescent="0.5">
      <c r="A3" s="7" t="s">
        <v>7</v>
      </c>
      <c r="B3" s="3" t="s">
        <v>118</v>
      </c>
      <c r="D3" s="7" t="s">
        <v>52</v>
      </c>
      <c r="E3" s="3" t="s">
        <v>127</v>
      </c>
      <c r="I3" t="s">
        <v>136</v>
      </c>
    </row>
    <row r="4" spans="1:9" x14ac:dyDescent="0.5">
      <c r="A4" s="6"/>
      <c r="I4" s="24">
        <v>45922</v>
      </c>
    </row>
    <row r="5" spans="1:9" x14ac:dyDescent="0.5">
      <c r="A5" s="7" t="s">
        <v>8</v>
      </c>
      <c r="B5" s="4" t="s">
        <v>3</v>
      </c>
    </row>
    <row r="6" spans="1:9" x14ac:dyDescent="0.5">
      <c r="A6" s="6"/>
      <c r="F6" s="7" t="s">
        <v>122</v>
      </c>
    </row>
    <row r="7" spans="1:9" x14ac:dyDescent="0.5">
      <c r="A7" s="8" t="s">
        <v>13</v>
      </c>
      <c r="B7" s="13">
        <v>45617</v>
      </c>
      <c r="F7" s="7" t="s">
        <v>124</v>
      </c>
    </row>
    <row r="8" spans="1:9" x14ac:dyDescent="0.5">
      <c r="A8" s="7" t="s">
        <v>14</v>
      </c>
      <c r="B8" s="12">
        <v>0.5</v>
      </c>
      <c r="C8" s="4" t="s">
        <v>24</v>
      </c>
      <c r="F8" s="35" t="s">
        <v>123</v>
      </c>
    </row>
    <row r="9" spans="1:9" x14ac:dyDescent="0.5">
      <c r="A9" s="6"/>
      <c r="F9" s="31" t="s">
        <v>125</v>
      </c>
    </row>
    <row r="10" spans="1:9" x14ac:dyDescent="0.5">
      <c r="A10" s="7" t="s">
        <v>40</v>
      </c>
      <c r="B10" s="22">
        <v>22</v>
      </c>
      <c r="C10" s="23">
        <v>5</v>
      </c>
      <c r="D10" s="5" t="s">
        <v>10</v>
      </c>
    </row>
    <row r="11" spans="1:9" x14ac:dyDescent="0.5">
      <c r="A11" s="7" t="s">
        <v>41</v>
      </c>
      <c r="B11" s="22">
        <v>46</v>
      </c>
      <c r="C11" s="23">
        <v>41</v>
      </c>
      <c r="D11" s="5" t="s">
        <v>12</v>
      </c>
    </row>
    <row r="12" spans="1:9" x14ac:dyDescent="0.5">
      <c r="A12" s="6"/>
    </row>
    <row r="13" spans="1:9" x14ac:dyDescent="0.5">
      <c r="A13" s="7" t="s">
        <v>132</v>
      </c>
      <c r="B13" s="5" t="s">
        <v>134</v>
      </c>
      <c r="D13" s="9" t="s">
        <v>76</v>
      </c>
      <c r="E13" s="3" t="s">
        <v>81</v>
      </c>
      <c r="F13" s="9" t="s">
        <v>107</v>
      </c>
      <c r="G13" s="3">
        <v>3.8</v>
      </c>
    </row>
    <row r="14" spans="1:9" x14ac:dyDescent="0.5">
      <c r="A14" s="7" t="s">
        <v>133</v>
      </c>
      <c r="B14" s="5" t="s">
        <v>135</v>
      </c>
      <c r="D14" s="9" t="s">
        <v>99</v>
      </c>
      <c r="E14" s="3">
        <v>625</v>
      </c>
      <c r="F14" s="9" t="s">
        <v>108</v>
      </c>
      <c r="G14" s="3">
        <v>4.4000000000000004</v>
      </c>
    </row>
    <row r="15" spans="1:9" x14ac:dyDescent="0.5">
      <c r="A15" s="6"/>
      <c r="F15" s="9" t="s">
        <v>109</v>
      </c>
      <c r="G15" s="3">
        <v>0.6</v>
      </c>
    </row>
    <row r="16" spans="1:9" x14ac:dyDescent="0.5">
      <c r="A16" s="7" t="s">
        <v>100</v>
      </c>
      <c r="B16" s="3">
        <v>24</v>
      </c>
      <c r="D16" s="41" t="s">
        <v>46</v>
      </c>
      <c r="E16" s="42">
        <f>B17/B16</f>
        <v>8.4583333333333339</v>
      </c>
    </row>
    <row r="17" spans="1:14" x14ac:dyDescent="0.5">
      <c r="A17" s="7" t="s">
        <v>101</v>
      </c>
      <c r="B17" s="3">
        <v>203</v>
      </c>
      <c r="D17" s="41"/>
      <c r="E17" s="42"/>
    </row>
    <row r="18" spans="1:14" x14ac:dyDescent="0.5">
      <c r="A18" s="7" t="s">
        <v>102</v>
      </c>
      <c r="B18" s="3">
        <v>41.5</v>
      </c>
      <c r="D18" s="41" t="s">
        <v>79</v>
      </c>
      <c r="E18" s="42">
        <f>B19/B18</f>
        <v>7.7831325301204819</v>
      </c>
    </row>
    <row r="19" spans="1:14" x14ac:dyDescent="0.5">
      <c r="A19" s="7" t="s">
        <v>103</v>
      </c>
      <c r="B19" s="3">
        <v>323</v>
      </c>
      <c r="D19" s="41"/>
      <c r="E19" s="42"/>
    </row>
    <row r="20" spans="1:14" x14ac:dyDescent="0.5">
      <c r="A20" s="7" t="s">
        <v>104</v>
      </c>
      <c r="B20" s="15">
        <v>4935</v>
      </c>
    </row>
    <row r="21" spans="1:14" x14ac:dyDescent="0.5">
      <c r="A21" s="7" t="s">
        <v>88</v>
      </c>
      <c r="B21" s="16">
        <v>45641</v>
      </c>
      <c r="C21" s="17">
        <v>0.5</v>
      </c>
      <c r="D21" s="3" t="s">
        <v>27</v>
      </c>
    </row>
    <row r="22" spans="1:14" x14ac:dyDescent="0.5">
      <c r="A22" s="7" t="s">
        <v>89</v>
      </c>
      <c r="B22" s="16"/>
      <c r="C22" s="17"/>
      <c r="D22" s="3" t="s">
        <v>23</v>
      </c>
    </row>
    <row r="24" spans="1:14" x14ac:dyDescent="0.5">
      <c r="A24" s="7" t="s">
        <v>83</v>
      </c>
      <c r="B24" s="16">
        <v>45646</v>
      </c>
      <c r="C24" s="17">
        <v>0.5</v>
      </c>
      <c r="D24" s="3" t="s">
        <v>27</v>
      </c>
    </row>
    <row r="25" spans="1:14" x14ac:dyDescent="0.5">
      <c r="A25" s="7" t="s">
        <v>84</v>
      </c>
      <c r="B25" s="16">
        <v>45645</v>
      </c>
      <c r="C25" s="17">
        <v>0.5</v>
      </c>
      <c r="D25" s="3" t="s">
        <v>27</v>
      </c>
    </row>
    <row r="26" spans="1:14" x14ac:dyDescent="0.5">
      <c r="A26" s="7" t="s">
        <v>85</v>
      </c>
      <c r="B26" s="16">
        <v>45643</v>
      </c>
      <c r="C26" s="17">
        <v>0.5</v>
      </c>
      <c r="D26" s="3" t="s">
        <v>27</v>
      </c>
    </row>
    <row r="27" spans="1:14" x14ac:dyDescent="0.5">
      <c r="A27" s="7" t="s">
        <v>86</v>
      </c>
      <c r="B27" s="16">
        <v>45642</v>
      </c>
      <c r="C27" s="17">
        <v>0.5</v>
      </c>
      <c r="D27" s="3" t="s">
        <v>27</v>
      </c>
    </row>
    <row r="28" spans="1:14" x14ac:dyDescent="0.5">
      <c r="A28" s="7" t="s">
        <v>87</v>
      </c>
      <c r="B28" s="16">
        <v>45640</v>
      </c>
      <c r="C28" s="17">
        <v>0.5</v>
      </c>
      <c r="D28" s="3" t="s">
        <v>27</v>
      </c>
    </row>
    <row r="30" spans="1:14" x14ac:dyDescent="0.5">
      <c r="B30" s="9" t="s">
        <v>105</v>
      </c>
      <c r="C30" s="9" t="s">
        <v>106</v>
      </c>
      <c r="K30" s="9" t="s">
        <v>90</v>
      </c>
      <c r="L30" s="9" t="s">
        <v>91</v>
      </c>
      <c r="M30" s="9" t="s">
        <v>116</v>
      </c>
      <c r="N30" s="9" t="s">
        <v>117</v>
      </c>
    </row>
    <row r="31" spans="1:14" x14ac:dyDescent="0.5">
      <c r="A31" s="9" t="s">
        <v>48</v>
      </c>
      <c r="B31" s="29">
        <f>K31-L31</f>
        <v>19</v>
      </c>
      <c r="C31" s="31">
        <f>(M31-N31)*0.001*$K$39</f>
        <v>0.49020000000000002</v>
      </c>
      <c r="J31" s="9" t="s">
        <v>48</v>
      </c>
      <c r="K31" s="30">
        <v>616</v>
      </c>
      <c r="L31" s="30">
        <v>597</v>
      </c>
      <c r="M31" s="30">
        <v>18480</v>
      </c>
      <c r="N31" s="30">
        <v>17910</v>
      </c>
    </row>
    <row r="32" spans="1:14" x14ac:dyDescent="0.5">
      <c r="A32" s="9" t="s">
        <v>47</v>
      </c>
      <c r="B32" s="29">
        <f t="shared" ref="B32:B34" si="0">K32-L32</f>
        <v>18</v>
      </c>
      <c r="C32" s="31">
        <f t="shared" ref="C32:C34" si="1">(M32-N32)*0.001*$K$39</f>
        <v>0.46440000000000003</v>
      </c>
      <c r="J32" s="9" t="s">
        <v>47</v>
      </c>
      <c r="K32" s="30">
        <v>636</v>
      </c>
      <c r="L32" s="30">
        <v>618</v>
      </c>
      <c r="M32" s="30">
        <v>19080</v>
      </c>
      <c r="N32" s="30">
        <v>18540</v>
      </c>
    </row>
    <row r="33" spans="1:14" x14ac:dyDescent="0.5">
      <c r="A33" s="9" t="s">
        <v>49</v>
      </c>
      <c r="B33" s="29">
        <f t="shared" si="0"/>
        <v>4</v>
      </c>
      <c r="C33" s="31">
        <f t="shared" si="1"/>
        <v>5.9340000000000004E-2</v>
      </c>
      <c r="J33" s="9" t="s">
        <v>49</v>
      </c>
      <c r="K33" s="30">
        <v>1058</v>
      </c>
      <c r="L33" s="30">
        <v>1054</v>
      </c>
      <c r="M33" s="30">
        <v>17636</v>
      </c>
      <c r="N33" s="30">
        <v>17567</v>
      </c>
    </row>
    <row r="34" spans="1:14" x14ac:dyDescent="0.5">
      <c r="A34" s="9" t="s">
        <v>50</v>
      </c>
      <c r="B34" s="29">
        <f t="shared" si="0"/>
        <v>20</v>
      </c>
      <c r="C34" s="31">
        <f t="shared" si="1"/>
        <v>0.28638000000000002</v>
      </c>
      <c r="J34" s="9" t="s">
        <v>50</v>
      </c>
      <c r="K34" s="30">
        <v>1096</v>
      </c>
      <c r="L34" s="30">
        <v>1076</v>
      </c>
      <c r="M34" s="30">
        <v>18270</v>
      </c>
      <c r="N34" s="30">
        <v>17937</v>
      </c>
    </row>
    <row r="35" spans="1:14" x14ac:dyDescent="0.5">
      <c r="A35" s="9" t="s">
        <v>120</v>
      </c>
      <c r="B35" s="5">
        <v>0</v>
      </c>
      <c r="J35" s="9" t="s">
        <v>51</v>
      </c>
      <c r="K35" s="5"/>
    </row>
    <row r="36" spans="1:14" x14ac:dyDescent="0.5">
      <c r="A36" s="9" t="s">
        <v>121</v>
      </c>
      <c r="B36" s="5">
        <v>0</v>
      </c>
      <c r="J36" s="9" t="s">
        <v>78</v>
      </c>
      <c r="K36" s="5"/>
    </row>
    <row r="38" spans="1:14" x14ac:dyDescent="0.5">
      <c r="A38" s="9" t="s">
        <v>53</v>
      </c>
      <c r="B38" s="9"/>
      <c r="C38" s="32">
        <f>SUM(C31:C34)</f>
        <v>1.3003200000000001</v>
      </c>
    </row>
    <row r="39" spans="1:14" x14ac:dyDescent="0.5">
      <c r="J39" s="9" t="s">
        <v>126</v>
      </c>
      <c r="K39" s="33">
        <v>0.86</v>
      </c>
    </row>
    <row r="40" spans="1:14" x14ac:dyDescent="0.5">
      <c r="A40" s="9" t="s">
        <v>110</v>
      </c>
      <c r="B40" s="5">
        <v>82.72</v>
      </c>
    </row>
    <row r="41" spans="1:14" x14ac:dyDescent="0.5">
      <c r="A41" s="9" t="s">
        <v>111</v>
      </c>
      <c r="B41" s="5">
        <v>5.0999999999999996</v>
      </c>
    </row>
    <row r="42" spans="1:14" x14ac:dyDescent="0.5">
      <c r="A42" s="9" t="s">
        <v>112</v>
      </c>
      <c r="B42" s="5">
        <v>28</v>
      </c>
    </row>
    <row r="43" spans="1:14" x14ac:dyDescent="0.5">
      <c r="A43" s="9" t="s">
        <v>113</v>
      </c>
      <c r="B43" s="5">
        <v>1.6</v>
      </c>
    </row>
    <row r="45" spans="1:14" x14ac:dyDescent="0.5">
      <c r="A45" s="9" t="s">
        <v>54</v>
      </c>
      <c r="B45" s="11" t="s">
        <v>92</v>
      </c>
      <c r="C45" s="11" t="s">
        <v>93</v>
      </c>
      <c r="D45" s="11" t="s">
        <v>94</v>
      </c>
      <c r="E45" s="11" t="s">
        <v>114</v>
      </c>
      <c r="F45" s="11" t="s">
        <v>96</v>
      </c>
      <c r="G45" s="11" t="s">
        <v>95</v>
      </c>
      <c r="H45" s="27"/>
    </row>
    <row r="46" spans="1:14" x14ac:dyDescent="0.5">
      <c r="A46" s="10">
        <v>0.66666666666666663</v>
      </c>
      <c r="B46" s="20">
        <v>10</v>
      </c>
      <c r="C46" s="21">
        <v>50</v>
      </c>
      <c r="D46" s="20">
        <v>12</v>
      </c>
      <c r="E46" s="3">
        <v>1</v>
      </c>
      <c r="F46" s="3">
        <v>180</v>
      </c>
      <c r="G46" s="25">
        <v>5.0999999999999996</v>
      </c>
      <c r="H46" s="28"/>
    </row>
    <row r="47" spans="1:14" x14ac:dyDescent="0.5">
      <c r="A47" s="10">
        <v>0.83333333333333337</v>
      </c>
      <c r="B47" s="20">
        <v>10</v>
      </c>
      <c r="C47" s="21">
        <v>45</v>
      </c>
      <c r="D47" s="20">
        <v>10</v>
      </c>
      <c r="E47" s="4">
        <v>1</v>
      </c>
      <c r="F47" s="4">
        <v>180</v>
      </c>
      <c r="G47" s="25">
        <v>6.5</v>
      </c>
      <c r="H47" s="28"/>
    </row>
    <row r="48" spans="1:14" x14ac:dyDescent="0.5">
      <c r="A48" s="10">
        <v>1</v>
      </c>
      <c r="B48" s="20">
        <v>0</v>
      </c>
      <c r="C48" s="21">
        <v>40</v>
      </c>
      <c r="D48" s="20">
        <v>11</v>
      </c>
      <c r="E48" s="4">
        <v>1</v>
      </c>
      <c r="F48" s="4">
        <v>180</v>
      </c>
      <c r="G48" s="25">
        <v>7</v>
      </c>
      <c r="H48" s="28"/>
    </row>
    <row r="49" spans="1:9" x14ac:dyDescent="0.5">
      <c r="A49" s="10">
        <v>0.16666666666666666</v>
      </c>
      <c r="B49" s="20">
        <v>0</v>
      </c>
      <c r="C49" s="21">
        <v>40</v>
      </c>
      <c r="D49" s="20">
        <v>10.5</v>
      </c>
      <c r="E49" s="3">
        <v>1</v>
      </c>
      <c r="F49" s="4">
        <v>180</v>
      </c>
      <c r="G49" s="25">
        <v>7</v>
      </c>
      <c r="H49" s="28"/>
    </row>
    <row r="50" spans="1:9" x14ac:dyDescent="0.5">
      <c r="A50" s="10">
        <v>0.33333333333333331</v>
      </c>
      <c r="B50" s="20">
        <v>0</v>
      </c>
      <c r="C50" s="21">
        <v>42</v>
      </c>
      <c r="D50" s="20">
        <v>16</v>
      </c>
      <c r="E50" s="3">
        <v>1</v>
      </c>
      <c r="F50" s="4">
        <v>180</v>
      </c>
      <c r="G50" s="25">
        <v>7</v>
      </c>
      <c r="H50" s="28"/>
    </row>
    <row r="51" spans="1:9" x14ac:dyDescent="0.5">
      <c r="A51" s="10">
        <v>0.5</v>
      </c>
      <c r="B51" s="20">
        <v>15</v>
      </c>
      <c r="C51" s="21">
        <v>130</v>
      </c>
      <c r="D51" s="20">
        <v>17</v>
      </c>
      <c r="E51" s="3">
        <v>1</v>
      </c>
      <c r="F51" s="4">
        <v>45</v>
      </c>
      <c r="G51" s="25">
        <v>8</v>
      </c>
      <c r="H51" s="28"/>
    </row>
    <row r="53" spans="1:9" x14ac:dyDescent="0.5">
      <c r="A53" s="9" t="s">
        <v>55</v>
      </c>
      <c r="B53" s="11" t="s">
        <v>56</v>
      </c>
      <c r="C53" s="11" t="s">
        <v>70</v>
      </c>
      <c r="D53" s="11" t="s">
        <v>71</v>
      </c>
      <c r="E53" s="11" t="s">
        <v>72</v>
      </c>
      <c r="F53" s="11" t="s">
        <v>73</v>
      </c>
      <c r="G53" s="11" t="s">
        <v>77</v>
      </c>
      <c r="H53" s="11" t="s">
        <v>130</v>
      </c>
      <c r="I53" s="11" t="s">
        <v>131</v>
      </c>
    </row>
    <row r="54" spans="1:9" x14ac:dyDescent="0.5">
      <c r="A54" s="10">
        <v>0.66666666666666663</v>
      </c>
      <c r="B54" s="3" t="s">
        <v>0</v>
      </c>
      <c r="C54" s="3" t="s">
        <v>5</v>
      </c>
      <c r="D54" s="3" t="s">
        <v>5</v>
      </c>
      <c r="E54" s="3" t="s">
        <v>5</v>
      </c>
      <c r="F54" s="3" t="s">
        <v>5</v>
      </c>
      <c r="G54" s="26">
        <v>27</v>
      </c>
      <c r="H54" s="19">
        <v>0</v>
      </c>
      <c r="I54" s="19">
        <v>0</v>
      </c>
    </row>
    <row r="55" spans="1:9" x14ac:dyDescent="0.5">
      <c r="A55" s="10">
        <v>0.83333333333333337</v>
      </c>
      <c r="B55" s="3" t="s">
        <v>0</v>
      </c>
      <c r="C55" s="3" t="s">
        <v>5</v>
      </c>
      <c r="D55" s="3" t="s">
        <v>5</v>
      </c>
      <c r="E55" s="3" t="s">
        <v>5</v>
      </c>
      <c r="F55" s="3" t="s">
        <v>5</v>
      </c>
      <c r="G55" s="26">
        <v>28</v>
      </c>
      <c r="H55" s="19">
        <v>0</v>
      </c>
      <c r="I55" s="19">
        <v>0</v>
      </c>
    </row>
    <row r="56" spans="1:9" x14ac:dyDescent="0.5">
      <c r="A56" s="10">
        <v>1</v>
      </c>
      <c r="B56" s="3" t="s">
        <v>0</v>
      </c>
      <c r="C56" s="3" t="s">
        <v>0</v>
      </c>
      <c r="D56" s="3" t="s">
        <v>0</v>
      </c>
      <c r="E56" s="3" t="s">
        <v>0</v>
      </c>
      <c r="F56" s="3" t="s">
        <v>0</v>
      </c>
      <c r="G56" s="26">
        <v>0</v>
      </c>
      <c r="H56" s="19">
        <v>0</v>
      </c>
      <c r="I56" s="19">
        <v>0</v>
      </c>
    </row>
    <row r="57" spans="1:9" x14ac:dyDescent="0.5">
      <c r="A57" s="10">
        <v>0.16666666666666666</v>
      </c>
      <c r="B57" s="3" t="s">
        <v>0</v>
      </c>
      <c r="C57" s="3" t="s">
        <v>0</v>
      </c>
      <c r="D57" s="3" t="s">
        <v>0</v>
      </c>
      <c r="E57" s="3" t="s">
        <v>0</v>
      </c>
      <c r="F57" s="3" t="s">
        <v>0</v>
      </c>
      <c r="G57" s="26">
        <v>0</v>
      </c>
      <c r="H57" s="19">
        <v>0.6</v>
      </c>
      <c r="I57" s="19">
        <v>0.6</v>
      </c>
    </row>
    <row r="58" spans="1:9" x14ac:dyDescent="0.5">
      <c r="A58" s="10">
        <v>0.33333333333333331</v>
      </c>
      <c r="B58" s="3" t="s">
        <v>0</v>
      </c>
      <c r="C58" s="3" t="s">
        <v>0</v>
      </c>
      <c r="D58" s="3" t="s">
        <v>0</v>
      </c>
      <c r="E58" s="3" t="s">
        <v>0</v>
      </c>
      <c r="F58" s="3" t="s">
        <v>0</v>
      </c>
      <c r="G58" s="26">
        <v>0</v>
      </c>
      <c r="H58" s="19">
        <v>0.8</v>
      </c>
      <c r="I58" s="19">
        <v>0.6</v>
      </c>
    </row>
    <row r="59" spans="1:9" x14ac:dyDescent="0.5">
      <c r="A59" s="10">
        <v>0.5</v>
      </c>
      <c r="B59" s="3" t="s">
        <v>0</v>
      </c>
      <c r="C59" s="3" t="s">
        <v>0</v>
      </c>
      <c r="D59" s="3" t="s">
        <v>0</v>
      </c>
      <c r="E59" s="3" t="s">
        <v>0</v>
      </c>
      <c r="F59" s="3" t="s">
        <v>0</v>
      </c>
      <c r="G59" s="26">
        <v>0</v>
      </c>
      <c r="H59" s="19">
        <v>0.65</v>
      </c>
      <c r="I59" s="19">
        <v>0.65</v>
      </c>
    </row>
    <row r="61" spans="1:9" x14ac:dyDescent="0.5">
      <c r="B61" s="11" t="s">
        <v>57</v>
      </c>
      <c r="C61" s="11" t="s">
        <v>58</v>
      </c>
      <c r="D61" s="11" t="s">
        <v>57</v>
      </c>
      <c r="E61" s="11" t="s">
        <v>58</v>
      </c>
    </row>
    <row r="62" spans="1:9" x14ac:dyDescent="0.5">
      <c r="B62" s="36" t="s">
        <v>60</v>
      </c>
      <c r="C62" s="37"/>
      <c r="D62" s="36" t="s">
        <v>61</v>
      </c>
      <c r="E62" s="37"/>
    </row>
    <row r="63" spans="1:9" x14ac:dyDescent="0.5">
      <c r="A63" s="9" t="s">
        <v>62</v>
      </c>
      <c r="B63" s="18">
        <v>25</v>
      </c>
      <c r="C63" s="14"/>
      <c r="D63" s="18">
        <v>25</v>
      </c>
      <c r="E63" s="14"/>
    </row>
    <row r="64" spans="1:9" x14ac:dyDescent="0.5">
      <c r="A64" s="9" t="s">
        <v>59</v>
      </c>
      <c r="B64" s="18">
        <v>21</v>
      </c>
      <c r="C64" s="19"/>
      <c r="D64" s="18">
        <v>31</v>
      </c>
      <c r="E64" s="19"/>
    </row>
    <row r="65" spans="1:9" x14ac:dyDescent="0.5">
      <c r="A65" s="9" t="s">
        <v>69</v>
      </c>
      <c r="B65" s="18">
        <v>24</v>
      </c>
      <c r="C65" s="19">
        <v>0.66</v>
      </c>
      <c r="D65" s="18">
        <v>28</v>
      </c>
      <c r="E65" s="19">
        <v>0.66</v>
      </c>
    </row>
    <row r="66" spans="1:9" x14ac:dyDescent="0.5">
      <c r="A66" s="9" t="s">
        <v>63</v>
      </c>
      <c r="B66" s="18">
        <v>25</v>
      </c>
      <c r="C66" s="19">
        <v>0.77</v>
      </c>
      <c r="D66" s="18">
        <v>28</v>
      </c>
      <c r="E66" s="19">
        <v>0.76</v>
      </c>
    </row>
    <row r="67" spans="1:9" x14ac:dyDescent="0.5">
      <c r="A67" s="9" t="s">
        <v>64</v>
      </c>
      <c r="B67" s="18">
        <v>26</v>
      </c>
      <c r="C67" s="19">
        <v>0.72</v>
      </c>
      <c r="D67" s="18">
        <v>27</v>
      </c>
      <c r="E67" s="19">
        <v>0.71</v>
      </c>
    </row>
    <row r="68" spans="1:9" x14ac:dyDescent="0.5">
      <c r="A68" s="9" t="s">
        <v>65</v>
      </c>
      <c r="B68" s="18">
        <v>24</v>
      </c>
      <c r="C68" s="19">
        <v>0.73</v>
      </c>
      <c r="D68" s="18">
        <v>26</v>
      </c>
      <c r="E68" s="19">
        <v>0.72</v>
      </c>
    </row>
    <row r="69" spans="1:9" x14ac:dyDescent="0.5">
      <c r="A69" s="9" t="s">
        <v>66</v>
      </c>
      <c r="B69" s="18">
        <v>24</v>
      </c>
      <c r="C69" s="19">
        <v>0.68</v>
      </c>
      <c r="D69" s="18">
        <v>28</v>
      </c>
      <c r="E69" s="19">
        <v>0.69</v>
      </c>
    </row>
    <row r="70" spans="1:9" x14ac:dyDescent="0.5">
      <c r="A70" s="9" t="s">
        <v>67</v>
      </c>
      <c r="B70" s="18">
        <v>24</v>
      </c>
      <c r="C70" s="19">
        <v>0.7</v>
      </c>
      <c r="D70" s="18">
        <v>27</v>
      </c>
      <c r="E70" s="19">
        <v>0.7</v>
      </c>
    </row>
    <row r="71" spans="1:9" x14ac:dyDescent="0.5">
      <c r="A71" s="9" t="s">
        <v>68</v>
      </c>
      <c r="B71" s="18">
        <v>23</v>
      </c>
      <c r="C71" s="19">
        <v>0.73</v>
      </c>
      <c r="D71" s="18">
        <v>24</v>
      </c>
      <c r="E71" s="19">
        <v>0.71</v>
      </c>
    </row>
    <row r="73" spans="1:9" x14ac:dyDescent="0.5">
      <c r="A73" s="43" t="s">
        <v>80</v>
      </c>
    </row>
    <row r="74" spans="1:9" ht="15.75" customHeight="1" x14ac:dyDescent="0.5">
      <c r="A74" s="44" t="s">
        <v>115</v>
      </c>
      <c r="B74" s="44"/>
      <c r="C74" s="44"/>
      <c r="D74" s="44"/>
      <c r="E74" s="44"/>
      <c r="F74" s="44"/>
      <c r="G74" s="44"/>
      <c r="H74" s="44"/>
      <c r="I74" s="44"/>
    </row>
    <row r="75" spans="1:9" x14ac:dyDescent="0.5">
      <c r="A75" s="44"/>
      <c r="B75" s="44"/>
      <c r="C75" s="44"/>
      <c r="D75" s="44"/>
      <c r="E75" s="44"/>
      <c r="F75" s="44"/>
      <c r="G75" s="44"/>
      <c r="H75" s="44"/>
      <c r="I75" s="44"/>
    </row>
    <row r="76" spans="1:9" x14ac:dyDescent="0.5">
      <c r="A76" s="44"/>
      <c r="B76" s="44"/>
      <c r="C76" s="44"/>
      <c r="D76" s="44"/>
      <c r="E76" s="44"/>
      <c r="F76" s="44"/>
      <c r="G76" s="44"/>
      <c r="H76" s="44"/>
      <c r="I76" s="44"/>
    </row>
    <row r="77" spans="1:9" x14ac:dyDescent="0.5">
      <c r="A77" s="44"/>
      <c r="B77" s="44"/>
      <c r="C77" s="44"/>
      <c r="D77" s="44"/>
      <c r="E77" s="44"/>
      <c r="F77" s="44"/>
      <c r="G77" s="44"/>
      <c r="H77" s="44"/>
      <c r="I77" s="44"/>
    </row>
    <row r="79" spans="1:9" x14ac:dyDescent="0.5">
      <c r="A79" t="s">
        <v>128</v>
      </c>
      <c r="B79" s="34" t="s">
        <v>129</v>
      </c>
      <c r="C79" s="1">
        <v>45820</v>
      </c>
    </row>
    <row r="80" spans="1:9" x14ac:dyDescent="0.5">
      <c r="A80" t="s">
        <v>128</v>
      </c>
      <c r="B80" t="s">
        <v>136</v>
      </c>
      <c r="C80" s="1">
        <v>45922</v>
      </c>
    </row>
  </sheetData>
  <sheetProtection formatCells="0" formatColumns="0" formatRows="0" insertColumns="0" insertRows="0" insertHyperlinks="0" deleteColumns="0" deleteRows="0"/>
  <dataConsolidate/>
  <mergeCells count="8">
    <mergeCell ref="B62:C62"/>
    <mergeCell ref="D62:E62"/>
    <mergeCell ref="A1:I1"/>
    <mergeCell ref="D16:D17"/>
    <mergeCell ref="D18:D19"/>
    <mergeCell ref="E16:E17"/>
    <mergeCell ref="E18:E19"/>
    <mergeCell ref="A74:I77"/>
  </mergeCells>
  <phoneticPr fontId="1" type="noConversion"/>
  <dataValidations xWindow="1072" yWindow="563" count="19">
    <dataValidation allowBlank="1" showInputMessage="1" showErrorMessage="1" promptTitle="Temperature" prompt="°C" sqref="B63:B71 D63:D71" xr:uid="{CC4F67C1-D33F-4752-A8A6-4CC85B8076F9}"/>
    <dataValidation type="list" errorStyle="warning" operator="equal" allowBlank="1" showInputMessage="1" showErrorMessage="1" error="More than 25h_x000a_Missing report or mistake" promptTitle="Time" prompt="In hours" sqref="B16" xr:uid="{F657CA7A-0604-4AC1-8B0A-44521A3FC884}">
      <formula1>"23, 24, 25"</formula1>
    </dataValidation>
    <dataValidation type="whole" allowBlank="1" showInputMessage="1" showErrorMessage="1" promptTitle="True Wind Speed" prompt="In kt, representative from the watch, average wind" sqref="B46:B51" xr:uid="{E7469483-BAD7-431A-BD2F-DDCF2251868D}">
      <formula1>0</formula1>
      <formula2>120</formula2>
    </dataValidation>
    <dataValidation type="decimal" allowBlank="1" showInputMessage="1" showErrorMessage="1" error="Not in normal range" promptTitle="Consumption " prompt="In MT_x000a_!! Data Computed from table on the right_x000a_Do not enter figure here" sqref="C31:C34" xr:uid="{BA5C493D-4DC2-46EE-BB5E-766738472ED9}">
      <formula1>0</formula1>
      <formula2>5</formula2>
    </dataValidation>
    <dataValidation type="textLength" allowBlank="1" showInputMessage="1" showErrorMessage="1" promptTitle="Trip Code" prompt="For info, trip code is composed of five cahartacters_x000a_Vessel Number : 1 (Anemos)_x000a_Vessel trip number for the year : A_x000a_Loading Port : L : Le Havre_x000a_Discharge Port : Y : New York_x000a_Last digit of year_x000a_3GLY6 Atlantis 6th towt trip LH NY 2026" sqref="E3" xr:uid="{0011F78C-78D1-4256-9044-0B9A4C1F93E4}">
      <formula1>5</formula1>
      <formula2>5</formula2>
    </dataValidation>
    <dataValidation type="decimal" allowBlank="1" showInputMessage="1" showErrorMessage="1" promptTitle="Engine Load" prompt="percentage displayed on Praxis. Percentage to be given as integer (nombre entier pour les frenchies)" sqref="H54:I59" xr:uid="{6FB486B9-6595-42AD-8F49-F0DE8F2724EF}">
      <formula1>0</formula1>
      <formula2>100</formula2>
    </dataValidation>
    <dataValidation type="decimal" allowBlank="1" showInputMessage="1" showErrorMessage="1" promptTitle="GO density" prompt="Density from BDN of fuel in use" sqref="K39" xr:uid="{0F6D9F94-946A-4DB3-95AF-6001B297B30B}">
      <formula1>0.7</formula1>
      <formula2>1.2</formula2>
    </dataValidation>
    <dataValidation type="decimal" allowBlank="1" showInputMessage="1" showErrorMessage="1" promptTitle="Time" prompt="In hours_x000a_!! Data computed from table on the right" sqref="B31:B34" xr:uid="{75648D08-7356-464E-9DFE-A72FD3F02863}">
      <formula1>0</formula1>
      <formula2>24</formula2>
    </dataValidation>
    <dataValidation allowBlank="1" showInputMessage="1" showErrorMessage="1" promptTitle="Engine running Hours" prompt="Running hours at the completion of the Noon report of the day._x000a_Data taken from each engine panel." sqref="K31:K34" xr:uid="{03A3D53D-8FEF-4AB4-BB1E-E947F86F995C}"/>
    <dataValidation allowBlank="1" showInputMessage="1" showErrorMessage="1" promptTitle="Engine hours previous day" prompt="Running hours at the completion of the Noon report of the day before!_x000a_Data taken from previous noon report!_x000a_This will automaticaly compute the daily running hours (calculation overall includes the change in time zones so just fill at your local noon)" sqref="L31:L34" xr:uid="{8920C3A8-DB52-4A4C-ADF7-86D3DA5435DE}"/>
    <dataValidation allowBlank="1" showInputMessage="1" showErrorMessage="1" promptTitle="Consumption of engine" prompt="Volume consumed at completion of the Noon report of the day._x000a_Data taken from each engine panel." sqref="M31:M34" xr:uid="{CE784984-B708-452F-9FE2-273F63C85F45}"/>
    <dataValidation allowBlank="1" showInputMessage="1" showErrorMessage="1" promptTitle="Engine consumption previous day" prompt="Volume consumed at completion of the Noon report of the day before._x000a_Data taken from previous Noon report" sqref="N31:N34" xr:uid="{CBEC5332-BD63-41A6-9539-9DF54A1A5F2A}"/>
    <dataValidation type="decimal" allowBlank="1" showInputMessage="1" showErrorMessage="1" promptTitle="Deadweight of Cargo" prompt="Taken from Cargo Manifest" sqref="E14" xr:uid="{59D86037-72E5-4E7C-AD80-89802113F324}">
      <formula1>0</formula1>
      <formula2>1300</formula2>
    </dataValidation>
    <dataValidation type="decimal" allowBlank="1" showInputMessage="1" showErrorMessage="1" promptTitle="Draft of vessel" prompt="Excluding Daggerboard_x000a_From direct reading close to departure, from estimated stability of vessel further in voyage." sqref="G13:G14" xr:uid="{9A41C4A5-22B6-4515-B2D7-38F28284CA1C}">
      <formula1>3</formula1>
      <formula2>6</formula2>
    </dataValidation>
    <dataValidation type="decimal" allowBlank="1" showInputMessage="1" showErrorMessage="1" promptTitle="Electrical Sail boost" prompt="In kW as displayed in Praxis, representative from the watch" sqref="G54:G59" xr:uid="{47C17B81-6754-428F-9E7E-42195AE849EA}">
      <formula1>0</formula1>
      <formula2>120</formula2>
    </dataValidation>
    <dataValidation type="whole" allowBlank="1" showInputMessage="1" showErrorMessage="1" promptTitle="Sea direction" prompt="From 0 to 180 deg representative from the watch" sqref="F46:F51" xr:uid="{4AD13E0B-72E3-4469-A250-E0D89C07AE59}">
      <formula1>0</formula1>
      <formula2>181</formula2>
    </dataValidation>
    <dataValidation type="decimal" allowBlank="1" showInputMessage="1" showErrorMessage="1" promptTitle="Speed through the water " prompt="In kt, average speed representative from the watch." sqref="G46:G51" xr:uid="{06088818-B1DC-484C-B5B6-4F92CE9816FC}">
      <formula1>0</formula1>
      <formula2>22</formula2>
    </dataValidation>
    <dataValidation type="decimal" allowBlank="1" showInputMessage="1" showErrorMessage="1" promptTitle="Draft of vessel" prompt="Excluding Daggerboard_x000a_From direct reading close to departure, from estimated stability of vessel further in voyage." sqref="G15" xr:uid="{B6D05809-BF83-42BD-BB96-F33F783F588D}">
      <formula1>0</formula1>
      <formula2>2</formula2>
    </dataValidation>
    <dataValidation type="textLength" allowBlank="1" showInputMessage="1" showErrorMessage="1" sqref="B13:B14" xr:uid="{D4C70A72-33C0-4CB6-B0FA-C5055D1D6491}">
      <formula1>5</formula1>
      <formula2>5</formula2>
    </dataValidation>
  </dataValidations>
  <pageMargins left="0.70866141732283472" right="0.70866141732283472" top="0.74803149606299213" bottom="0.74803149606299213" header="0.31496062992125984" footer="0.31496062992125984"/>
  <pageSetup paperSize="9" scale="59" orientation="portrait" horizontalDpi="4294967292" verticalDpi="1200" r:id="rId1"/>
  <colBreaks count="1" manualBreakCount="1">
    <brk id="9" max="76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xWindow="1072" yWindow="563" count="30">
        <x14:dataValidation type="list" allowBlank="1" showInputMessage="1" showErrorMessage="1" xr:uid="{F6DEB24C-CD7D-4DF2-A20B-0578C258A27E}">
          <x14:formula1>
            <xm:f>Data!$C$1:$C$3</xm:f>
          </x14:formula1>
          <xm:sqref>B5</xm:sqref>
        </x14:dataValidation>
        <x14:dataValidation type="list" allowBlank="1" showInputMessage="1" showErrorMessage="1" xr:uid="{09FA7B92-B232-41BB-886B-0FD0B24D4276}">
          <x14:formula1>
            <xm:f>Data!$B$1:$B$8</xm:f>
          </x14:formula1>
          <xm:sqref>B3</xm:sqref>
        </x14:dataValidation>
        <x14:dataValidation type="list" allowBlank="1" showInputMessage="1" showErrorMessage="1" promptTitle="Time Zone" prompt="Select Time Zone" xr:uid="{EDB11360-B3E1-4D9C-A731-908E98167120}">
          <x14:formula1>
            <xm:f>Data!$F$1:$F$25</xm:f>
          </x14:formula1>
          <xm:sqref>C8</xm:sqref>
        </x14:dataValidation>
        <x14:dataValidation type="list" allowBlank="1" showInputMessage="1" showErrorMessage="1" xr:uid="{39359758-DD29-4ECD-B0F7-8F082D84D5E6}">
          <x14:formula1>
            <xm:f>Data!$G$1:$G$2</xm:f>
          </x14:formula1>
          <xm:sqref>D10</xm:sqref>
        </x14:dataValidation>
        <x14:dataValidation type="list" allowBlank="1" showInputMessage="1" showErrorMessage="1" xr:uid="{9D9D3439-4CC3-4E1A-8A2D-C00199E6D7FF}">
          <x14:formula1>
            <xm:f>Data!$H$1:$H$2</xm:f>
          </x14:formula1>
          <xm:sqref>D11</xm:sqref>
        </x14:dataValidation>
        <x14:dataValidation type="list" allowBlank="1" showInputMessage="1" showErrorMessage="1" xr:uid="{86E668D3-8AC3-45EB-9AEC-13ACBC89DA6E}">
          <x14:formula1>
            <xm:f>Data!$I$1:$I$91</xm:f>
          </x14:formula1>
          <xm:sqref>B10</xm:sqref>
        </x14:dataValidation>
        <x14:dataValidation type="list" allowBlank="1" showInputMessage="1" showErrorMessage="1" xr:uid="{8C753E2F-2801-4303-955D-165348AF8B96}">
          <x14:formula1>
            <xm:f>Data!$I$1:$I$60</xm:f>
          </x14:formula1>
          <xm:sqref>C10:C11</xm:sqref>
        </x14:dataValidation>
        <x14:dataValidation type="list" allowBlank="1" showInputMessage="1" showErrorMessage="1" xr:uid="{712A1CA3-6228-4F84-A1A3-0915A474B453}">
          <x14:formula1>
            <xm:f>Data!$I$1:$I$361</xm:f>
          </x14:formula1>
          <xm:sqref>B11</xm:sqref>
        </x14:dataValidation>
        <x14:dataValidation type="list" allowBlank="1" showInputMessage="1" showErrorMessage="1" xr:uid="{266D0781-BA90-43F8-8E4B-D52E9F4E3AA7}">
          <x14:formula1>
            <xm:f>Data!$A$1:$A$2</xm:f>
          </x14:formula1>
          <xm:sqref>B54:F59</xm:sqref>
        </x14:dataValidation>
        <x14:dataValidation type="list" allowBlank="1" showInputMessage="1" showErrorMessage="1" xr:uid="{8404E62B-C700-4B9D-A43F-CF5FF1667A10}">
          <x14:formula1>
            <xm:f>Data!$F$1:$F$25</xm:f>
          </x14:formula1>
          <xm:sqref>D21:D28</xm:sqref>
        </x14:dataValidation>
        <x14:dataValidation type="list" allowBlank="1" showInputMessage="1" showErrorMessage="1" xr:uid="{E98C9373-49E0-4E67-B1DD-8FE9F3C44236}">
          <x14:formula1>
            <xm:f>Data!$K$1:$K$3</xm:f>
          </x14:formula1>
          <xm:sqref>E13</xm:sqref>
        </x14:dataValidation>
        <x14:dataValidation type="decimal" allowBlank="1" showInputMessage="1" showErrorMessage="1" promptTitle="Speed through the water " prompt="In kt" xr:uid="{30B696B5-49F4-4951-8445-232A5806A626}">
          <x14:formula1>
            <xm:f>Data!$I$1</xm:f>
          </x14:formula1>
          <x14:formula2>
            <xm:f>Data!$I$21</xm:f>
          </x14:formula2>
          <xm:sqref>H51 H46:H47</xm:sqref>
        </x14:dataValidation>
        <x14:dataValidation type="decimal" allowBlank="1" showInputMessage="1" showErrorMessage="1" promptTitle="Apparent Wind Speed" prompt="In kt, representative from the watch, average wind" xr:uid="{7C7D806F-6B82-4F46-B597-14A56CF6CF4A}">
          <x14:formula1>
            <xm:f>Data!$I$1</xm:f>
          </x14:formula1>
          <x14:formula2>
            <xm:f>Data!$I$151</xm:f>
          </x14:formula2>
          <xm:sqref>D46:D51</xm:sqref>
        </x14:dataValidation>
        <x14:dataValidation type="whole" allowBlank="1" showInputMessage="1" showErrorMessage="1" promptTitle="Apparent Wind Angle" prompt="0 to 180 deg, representative from the watch" xr:uid="{9FCEB098-C14E-4C8D-A0C4-1A291ABF2281}">
          <x14:formula1>
            <xm:f>Data!$I$1</xm:f>
          </x14:formula1>
          <x14:formula2>
            <xm:f>Data!$I$181</xm:f>
          </x14:formula2>
          <xm:sqref>C46:C51</xm:sqref>
        </x14:dataValidation>
        <x14:dataValidation type="whole" allowBlank="1" showInputMessage="1" showErrorMessage="1" promptTitle="Douglas Scale" prompt="From 0 to 9" xr:uid="{06225BC6-8882-464D-BBFB-D8C4B8A9DC73}">
          <x14:formula1>
            <xm:f>Data!$I$1</xm:f>
          </x14:formula1>
          <x14:formula2>
            <xm:f>Data!$I$10</xm:f>
          </x14:formula2>
          <xm:sqref>E46 E51</xm:sqref>
        </x14:dataValidation>
        <x14:dataValidation type="decimal" allowBlank="1" showInputMessage="1" showErrorMessage="1" xr:uid="{F62B50D0-8870-414E-8A53-A78C7E4EB492}">
          <x14:formula1>
            <xm:f>Data!$I$1</xm:f>
          </x14:formula1>
          <x14:formula2>
            <xm:f>Data!$I$2</xm:f>
          </x14:formula2>
          <xm:sqref>E64 C64</xm:sqref>
        </x14:dataValidation>
        <x14:dataValidation type="decimal" allowBlank="1" showInputMessage="1" showErrorMessage="1" promptTitle="Time" prompt="In hours" xr:uid="{2552E2B1-0C1D-45F1-B3B4-FB8806741F42}">
          <x14:formula1>
            <xm:f>Data!$I$1</xm:f>
          </x14:formula1>
          <x14:formula2>
            <xm:f>Data!$I$26</xm:f>
          </x14:formula2>
          <xm:sqref>K35:K36 B35:B36</xm:sqref>
        </x14:dataValidation>
        <x14:dataValidation type="date" allowBlank="1" showInputMessage="1" showErrorMessage="1" promptTitle="Date" prompt="DD/MM/YYYY" xr:uid="{544B21E0-7935-4683-B156-3DD2368DF933}">
          <x14:formula1>
            <xm:f>Data!D2</xm:f>
          </x14:formula1>
          <x14:formula2>
            <xm:f>Data!D3</xm:f>
          </x14:formula2>
          <xm:sqref>B24:B28</xm:sqref>
        </x14:dataValidation>
        <x14:dataValidation type="time" allowBlank="1" showInputMessage="1" showErrorMessage="1" promptTitle="Time" prompt="HH:MM" xr:uid="{AF013316-2C77-438A-8FA4-D1FB422CF7F6}">
          <x14:formula1>
            <xm:f>Data!E2</xm:f>
          </x14:formula1>
          <x14:formula2>
            <xm:f>Data!E3</xm:f>
          </x14:formula2>
          <xm:sqref>C24:C28</xm:sqref>
        </x14:dataValidation>
        <x14:dataValidation type="decimal" operator="greaterThanOrEqual" allowBlank="1" showInputMessage="1" showErrorMessage="1" promptTitle="Distance" prompt="In nautical miles" xr:uid="{C896B9B3-EB5E-44CE-888A-6CD1624D473D}">
          <x14:formula1>
            <xm:f>Data!I1</xm:f>
          </x14:formula1>
          <xm:sqref>B20</xm:sqref>
        </x14:dataValidation>
        <x14:dataValidation type="date" allowBlank="1" showInputMessage="1" showErrorMessage="1" errorTitle="Date" error="Format Invalid" promptTitle="Date" prompt="DD/MM/YYYY" xr:uid="{488E5F31-FBE0-48A2-B245-FE010C7B127F}">
          <x14:formula1>
            <xm:f>Data!D1</xm:f>
          </x14:formula1>
          <x14:formula2>
            <xm:f>Data!D2</xm:f>
          </x14:formula2>
          <xm:sqref>B7</xm:sqref>
        </x14:dataValidation>
        <x14:dataValidation type="time" allowBlank="1" showInputMessage="1" showErrorMessage="1" errorTitle="Format not valid" error="HH:MM" promptTitle="Time" prompt="HH:MM" xr:uid="{757A1BEA-FF3A-4C48-86BD-4667C2FA27BF}">
          <x14:formula1>
            <xm:f>Data!E1</xm:f>
          </x14:formula1>
          <x14:formula2>
            <xm:f>Data!E2</xm:f>
          </x14:formula2>
          <xm:sqref>B8</xm:sqref>
        </x14:dataValidation>
        <x14:dataValidation type="decimal" showInputMessage="1" showErrorMessage="1" promptTitle="Distance" prompt="In nautical miles" xr:uid="{31C93055-B5A8-4980-8803-29AEE296FB37}">
          <x14:formula1>
            <xm:f>Data!I1</xm:f>
          </x14:formula1>
          <x14:formula2>
            <xm:f>Data!I401</xm:f>
          </x14:formula2>
          <xm:sqref>B17</xm:sqref>
        </x14:dataValidation>
        <x14:dataValidation type="decimal" operator="greaterThanOrEqual" showInputMessage="1" showErrorMessage="1" promptTitle="Distance" prompt="In nautical miles" xr:uid="{18807808-049B-4CEE-85FB-CA340DF221FB}">
          <x14:formula1>
            <xm:f>Data!I1</xm:f>
          </x14:formula1>
          <xm:sqref>B19</xm:sqref>
        </x14:dataValidation>
        <x14:dataValidation type="decimal" operator="greaterThan" showInputMessage="1" showErrorMessage="1" promptTitle="Time" prompt="in hours" xr:uid="{B4BCC289-1C4B-46EC-9760-CC2EAAAE3F39}">
          <x14:formula1>
            <xm:f>Data!I1</xm:f>
          </x14:formula1>
          <xm:sqref>B18</xm:sqref>
        </x14:dataValidation>
        <x14:dataValidation type="date" allowBlank="1" showInputMessage="1" showErrorMessage="1" promptTitle="Date" prompt="DD/MM/YYYY" xr:uid="{322C6677-3803-4E31-9BED-8FDF5966DCD0}">
          <x14:formula1>
            <xm:f>Data!D1</xm:f>
          </x14:formula1>
          <x14:formula2>
            <xm:f>Data!D2</xm:f>
          </x14:formula2>
          <xm:sqref>B21:B22</xm:sqref>
        </x14:dataValidation>
        <x14:dataValidation type="date" allowBlank="1" showInputMessage="1" showErrorMessage="1" promptTitle="Date" prompt="DD/MM/YYYY" xr:uid="{1EF51EB3-7BDF-439E-A26F-A10D0C2B0DCD}">
          <x14:formula1>
            <xm:f>Data!D2</xm:f>
          </x14:formula1>
          <x14:formula2>
            <xm:f>Data!D3</xm:f>
          </x14:formula2>
          <xm:sqref>B23</xm:sqref>
        </x14:dataValidation>
        <x14:dataValidation type="time" allowBlank="1" showInputMessage="1" showErrorMessage="1" promptTitle="Time" prompt="HH:MM" xr:uid="{474E742A-4894-4E9E-B3D5-D8944B1035C8}">
          <x14:formula1>
            <xm:f>Data!E1</xm:f>
          </x14:formula1>
          <x14:formula2>
            <xm:f>Data!E2</xm:f>
          </x14:formula2>
          <xm:sqref>C21:C22</xm:sqref>
        </x14:dataValidation>
        <x14:dataValidation type="time" allowBlank="1" showInputMessage="1" showErrorMessage="1" promptTitle="Time" prompt="HH:MM" xr:uid="{4D649F38-50AB-477E-B234-692E21BCC27B}">
          <x14:formula1>
            <xm:f>Data!E2</xm:f>
          </x14:formula1>
          <x14:formula2>
            <xm:f>Data!E3</xm:f>
          </x14:formula2>
          <xm:sqref>C23</xm:sqref>
        </x14:dataValidation>
        <x14:dataValidation type="whole" allowBlank="1" showInputMessage="1" showErrorMessage="1" promptTitle="Humidity" prompt="as displayed on Praxis. Values as integers" xr:uid="{B9D723CA-374D-4970-B56B-B753D56B6DA2}">
          <x14:formula1>
            <xm:f>Data!$I$1</xm:f>
          </x14:formula1>
          <x14:formula2>
            <xm:f>Data!$I$2</xm:f>
          </x14:formula2>
          <xm:sqref>C65:C71 E65:E71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97E0-BE70-4E37-8930-C23AF9E7550C}">
  <dimension ref="A1:AA401"/>
  <sheetViews>
    <sheetView topLeftCell="A6" workbookViewId="0">
      <selection activeCell="J1" sqref="J1:J4"/>
    </sheetView>
  </sheetViews>
  <sheetFormatPr baseColWidth="10" defaultRowHeight="15.75" x14ac:dyDescent="0.5"/>
  <sheetData>
    <row r="1" spans="1:27" x14ac:dyDescent="0.5">
      <c r="A1" t="s">
        <v>5</v>
      </c>
      <c r="B1" t="s">
        <v>1</v>
      </c>
      <c r="C1" t="s">
        <v>3</v>
      </c>
      <c r="D1" s="1">
        <v>45505</v>
      </c>
      <c r="E1" s="2">
        <v>0</v>
      </c>
      <c r="F1" s="2" t="s">
        <v>15</v>
      </c>
      <c r="G1" t="s">
        <v>9</v>
      </c>
      <c r="H1" t="s">
        <v>11</v>
      </c>
      <c r="I1">
        <v>0</v>
      </c>
      <c r="J1" t="s">
        <v>42</v>
      </c>
      <c r="K1" t="s">
        <v>81</v>
      </c>
    </row>
    <row r="2" spans="1:27" x14ac:dyDescent="0.5">
      <c r="A2" t="s">
        <v>0</v>
      </c>
      <c r="B2" t="s">
        <v>2</v>
      </c>
      <c r="C2" t="s">
        <v>6</v>
      </c>
      <c r="D2" s="1">
        <v>54789</v>
      </c>
      <c r="E2" s="2">
        <v>0.99930555555555556</v>
      </c>
      <c r="F2" s="2" t="s">
        <v>16</v>
      </c>
      <c r="G2" t="s">
        <v>10</v>
      </c>
      <c r="H2" t="s">
        <v>12</v>
      </c>
      <c r="I2">
        <v>1</v>
      </c>
      <c r="J2" t="s">
        <v>43</v>
      </c>
      <c r="K2" t="s">
        <v>75</v>
      </c>
    </row>
    <row r="3" spans="1:27" x14ac:dyDescent="0.5">
      <c r="B3" t="s">
        <v>118</v>
      </c>
      <c r="C3" t="s">
        <v>4</v>
      </c>
      <c r="F3" s="2" t="s">
        <v>17</v>
      </c>
      <c r="I3">
        <v>2</v>
      </c>
      <c r="J3" t="s">
        <v>44</v>
      </c>
      <c r="K3" t="s">
        <v>82</v>
      </c>
    </row>
    <row r="4" spans="1:27" x14ac:dyDescent="0.5">
      <c r="B4" t="s">
        <v>119</v>
      </c>
      <c r="F4" s="2" t="s">
        <v>18</v>
      </c>
      <c r="I4">
        <v>3</v>
      </c>
      <c r="J4" t="s">
        <v>45</v>
      </c>
    </row>
    <row r="5" spans="1:27" x14ac:dyDescent="0.5">
      <c r="F5" s="2" t="s">
        <v>19</v>
      </c>
      <c r="I5">
        <v>4</v>
      </c>
    </row>
    <row r="6" spans="1:27" x14ac:dyDescent="0.5">
      <c r="F6" s="2" t="s">
        <v>20</v>
      </c>
      <c r="I6">
        <v>5</v>
      </c>
    </row>
    <row r="7" spans="1:27" x14ac:dyDescent="0.5">
      <c r="F7" s="2" t="s">
        <v>21</v>
      </c>
      <c r="I7">
        <v>6</v>
      </c>
    </row>
    <row r="8" spans="1:27" x14ac:dyDescent="0.5">
      <c r="F8" s="2" t="s">
        <v>22</v>
      </c>
      <c r="I8">
        <v>7</v>
      </c>
    </row>
    <row r="9" spans="1:27" x14ac:dyDescent="0.5">
      <c r="F9" s="2" t="s">
        <v>23</v>
      </c>
      <c r="I9">
        <v>8</v>
      </c>
    </row>
    <row r="10" spans="1:27" x14ac:dyDescent="0.5">
      <c r="F10" s="2" t="s">
        <v>24</v>
      </c>
      <c r="I10">
        <v>9</v>
      </c>
    </row>
    <row r="11" spans="1:27" x14ac:dyDescent="0.5">
      <c r="F11" s="2" t="s">
        <v>25</v>
      </c>
      <c r="I11">
        <v>10</v>
      </c>
    </row>
    <row r="12" spans="1:27" x14ac:dyDescent="0.5">
      <c r="F12" s="2" t="s">
        <v>26</v>
      </c>
      <c r="I12">
        <v>11</v>
      </c>
    </row>
    <row r="13" spans="1:27" x14ac:dyDescent="0.5">
      <c r="F13" s="2" t="s">
        <v>34</v>
      </c>
      <c r="I13">
        <v>12</v>
      </c>
      <c r="Y13" t="s">
        <v>97</v>
      </c>
      <c r="AA13" t="s">
        <v>98</v>
      </c>
    </row>
    <row r="14" spans="1:27" x14ac:dyDescent="0.5">
      <c r="F14" s="2" t="s">
        <v>27</v>
      </c>
      <c r="I14">
        <v>13</v>
      </c>
    </row>
    <row r="15" spans="1:27" x14ac:dyDescent="0.5">
      <c r="F15" s="2" t="s">
        <v>28</v>
      </c>
      <c r="I15">
        <v>14</v>
      </c>
    </row>
    <row r="16" spans="1:27" x14ac:dyDescent="0.5">
      <c r="F16" s="2" t="s">
        <v>29</v>
      </c>
      <c r="I16">
        <v>15</v>
      </c>
    </row>
    <row r="17" spans="6:9" x14ac:dyDescent="0.5">
      <c r="F17" s="2" t="s">
        <v>30</v>
      </c>
      <c r="I17">
        <v>16</v>
      </c>
    </row>
    <row r="18" spans="6:9" x14ac:dyDescent="0.5">
      <c r="F18" s="2" t="s">
        <v>31</v>
      </c>
      <c r="I18">
        <v>17</v>
      </c>
    </row>
    <row r="19" spans="6:9" x14ac:dyDescent="0.5">
      <c r="F19" s="2" t="s">
        <v>32</v>
      </c>
      <c r="I19">
        <v>18</v>
      </c>
    </row>
    <row r="20" spans="6:9" x14ac:dyDescent="0.5">
      <c r="F20" s="2" t="s">
        <v>33</v>
      </c>
      <c r="I20">
        <v>19</v>
      </c>
    </row>
    <row r="21" spans="6:9" x14ac:dyDescent="0.5">
      <c r="F21" s="2" t="s">
        <v>35</v>
      </c>
      <c r="I21">
        <v>20</v>
      </c>
    </row>
    <row r="22" spans="6:9" x14ac:dyDescent="0.5">
      <c r="F22" s="2" t="s">
        <v>36</v>
      </c>
      <c r="I22">
        <v>21</v>
      </c>
    </row>
    <row r="23" spans="6:9" x14ac:dyDescent="0.5">
      <c r="F23" s="2" t="s">
        <v>37</v>
      </c>
      <c r="I23">
        <v>22</v>
      </c>
    </row>
    <row r="24" spans="6:9" x14ac:dyDescent="0.5">
      <c r="F24" s="2" t="s">
        <v>38</v>
      </c>
      <c r="I24">
        <v>23</v>
      </c>
    </row>
    <row r="25" spans="6:9" x14ac:dyDescent="0.5">
      <c r="F25" s="2" t="s">
        <v>39</v>
      </c>
      <c r="I25">
        <v>24</v>
      </c>
    </row>
    <row r="26" spans="6:9" x14ac:dyDescent="0.5">
      <c r="F26" s="2"/>
      <c r="I26">
        <v>25</v>
      </c>
    </row>
    <row r="27" spans="6:9" x14ac:dyDescent="0.5">
      <c r="F27" s="2"/>
      <c r="I27">
        <v>26</v>
      </c>
    </row>
    <row r="28" spans="6:9" x14ac:dyDescent="0.5">
      <c r="F28" s="2"/>
      <c r="I28">
        <v>27</v>
      </c>
    </row>
    <row r="29" spans="6:9" x14ac:dyDescent="0.5">
      <c r="F29" s="2"/>
      <c r="I29">
        <v>28</v>
      </c>
    </row>
    <row r="30" spans="6:9" x14ac:dyDescent="0.5">
      <c r="F30" s="2"/>
      <c r="I30">
        <v>29</v>
      </c>
    </row>
    <row r="31" spans="6:9" x14ac:dyDescent="0.5">
      <c r="F31" s="2"/>
      <c r="I31">
        <v>30</v>
      </c>
    </row>
    <row r="32" spans="6:9" x14ac:dyDescent="0.5">
      <c r="F32" s="2"/>
      <c r="I32">
        <v>31</v>
      </c>
    </row>
    <row r="33" spans="6:9" x14ac:dyDescent="0.5">
      <c r="F33" s="2"/>
      <c r="I33">
        <v>32</v>
      </c>
    </row>
    <row r="34" spans="6:9" x14ac:dyDescent="0.5">
      <c r="F34" s="2"/>
      <c r="I34">
        <v>33</v>
      </c>
    </row>
    <row r="35" spans="6:9" x14ac:dyDescent="0.5">
      <c r="I35">
        <v>34</v>
      </c>
    </row>
    <row r="36" spans="6:9" x14ac:dyDescent="0.5">
      <c r="I36">
        <v>35</v>
      </c>
    </row>
    <row r="37" spans="6:9" x14ac:dyDescent="0.5">
      <c r="I37">
        <v>36</v>
      </c>
    </row>
    <row r="38" spans="6:9" x14ac:dyDescent="0.5">
      <c r="I38">
        <v>37</v>
      </c>
    </row>
    <row r="39" spans="6:9" x14ac:dyDescent="0.5">
      <c r="I39">
        <v>38</v>
      </c>
    </row>
    <row r="40" spans="6:9" x14ac:dyDescent="0.5">
      <c r="I40">
        <v>39</v>
      </c>
    </row>
    <row r="41" spans="6:9" x14ac:dyDescent="0.5">
      <c r="I41">
        <v>40</v>
      </c>
    </row>
    <row r="42" spans="6:9" x14ac:dyDescent="0.5">
      <c r="I42">
        <v>41</v>
      </c>
    </row>
    <row r="43" spans="6:9" x14ac:dyDescent="0.5">
      <c r="I43">
        <v>42</v>
      </c>
    </row>
    <row r="44" spans="6:9" x14ac:dyDescent="0.5">
      <c r="I44">
        <v>43</v>
      </c>
    </row>
    <row r="45" spans="6:9" x14ac:dyDescent="0.5">
      <c r="I45">
        <v>44</v>
      </c>
    </row>
    <row r="46" spans="6:9" x14ac:dyDescent="0.5">
      <c r="I46">
        <v>45</v>
      </c>
    </row>
    <row r="47" spans="6:9" x14ac:dyDescent="0.5">
      <c r="I47">
        <v>46</v>
      </c>
    </row>
    <row r="48" spans="6:9" x14ac:dyDescent="0.5">
      <c r="I48">
        <v>47</v>
      </c>
    </row>
    <row r="49" spans="9:9" x14ac:dyDescent="0.5">
      <c r="I49">
        <v>48</v>
      </c>
    </row>
    <row r="50" spans="9:9" x14ac:dyDescent="0.5">
      <c r="I50">
        <v>49</v>
      </c>
    </row>
    <row r="51" spans="9:9" x14ac:dyDescent="0.5">
      <c r="I51">
        <v>50</v>
      </c>
    </row>
    <row r="52" spans="9:9" x14ac:dyDescent="0.5">
      <c r="I52">
        <v>51</v>
      </c>
    </row>
    <row r="53" spans="9:9" x14ac:dyDescent="0.5">
      <c r="I53">
        <v>52</v>
      </c>
    </row>
    <row r="54" spans="9:9" x14ac:dyDescent="0.5">
      <c r="I54">
        <v>53</v>
      </c>
    </row>
    <row r="55" spans="9:9" x14ac:dyDescent="0.5">
      <c r="I55">
        <v>54</v>
      </c>
    </row>
    <row r="56" spans="9:9" x14ac:dyDescent="0.5">
      <c r="I56">
        <v>55</v>
      </c>
    </row>
    <row r="57" spans="9:9" x14ac:dyDescent="0.5">
      <c r="I57">
        <v>56</v>
      </c>
    </row>
    <row r="58" spans="9:9" x14ac:dyDescent="0.5">
      <c r="I58">
        <v>57</v>
      </c>
    </row>
    <row r="59" spans="9:9" x14ac:dyDescent="0.5">
      <c r="I59">
        <v>58</v>
      </c>
    </row>
    <row r="60" spans="9:9" x14ac:dyDescent="0.5">
      <c r="I60">
        <v>59</v>
      </c>
    </row>
    <row r="61" spans="9:9" x14ac:dyDescent="0.5">
      <c r="I61">
        <v>60</v>
      </c>
    </row>
    <row r="62" spans="9:9" x14ac:dyDescent="0.5">
      <c r="I62">
        <v>61</v>
      </c>
    </row>
    <row r="63" spans="9:9" x14ac:dyDescent="0.5">
      <c r="I63">
        <v>62</v>
      </c>
    </row>
    <row r="64" spans="9:9" x14ac:dyDescent="0.5">
      <c r="I64">
        <v>63</v>
      </c>
    </row>
    <row r="65" spans="9:9" x14ac:dyDescent="0.5">
      <c r="I65">
        <v>64</v>
      </c>
    </row>
    <row r="66" spans="9:9" x14ac:dyDescent="0.5">
      <c r="I66">
        <v>65</v>
      </c>
    </row>
    <row r="67" spans="9:9" x14ac:dyDescent="0.5">
      <c r="I67">
        <v>66</v>
      </c>
    </row>
    <row r="68" spans="9:9" x14ac:dyDescent="0.5">
      <c r="I68">
        <v>67</v>
      </c>
    </row>
    <row r="69" spans="9:9" x14ac:dyDescent="0.5">
      <c r="I69">
        <v>68</v>
      </c>
    </row>
    <row r="70" spans="9:9" x14ac:dyDescent="0.5">
      <c r="I70">
        <v>69</v>
      </c>
    </row>
    <row r="71" spans="9:9" x14ac:dyDescent="0.5">
      <c r="I71">
        <v>70</v>
      </c>
    </row>
    <row r="72" spans="9:9" x14ac:dyDescent="0.5">
      <c r="I72">
        <v>71</v>
      </c>
    </row>
    <row r="73" spans="9:9" x14ac:dyDescent="0.5">
      <c r="I73">
        <v>72</v>
      </c>
    </row>
    <row r="74" spans="9:9" x14ac:dyDescent="0.5">
      <c r="I74">
        <v>73</v>
      </c>
    </row>
    <row r="75" spans="9:9" x14ac:dyDescent="0.5">
      <c r="I75">
        <v>74</v>
      </c>
    </row>
    <row r="76" spans="9:9" x14ac:dyDescent="0.5">
      <c r="I76">
        <v>75</v>
      </c>
    </row>
    <row r="77" spans="9:9" x14ac:dyDescent="0.5">
      <c r="I77">
        <v>76</v>
      </c>
    </row>
    <row r="78" spans="9:9" x14ac:dyDescent="0.5">
      <c r="I78">
        <v>77</v>
      </c>
    </row>
    <row r="79" spans="9:9" x14ac:dyDescent="0.5">
      <c r="I79">
        <v>78</v>
      </c>
    </row>
    <row r="80" spans="9:9" x14ac:dyDescent="0.5">
      <c r="I80">
        <v>79</v>
      </c>
    </row>
    <row r="81" spans="9:9" x14ac:dyDescent="0.5">
      <c r="I81">
        <v>80</v>
      </c>
    </row>
    <row r="82" spans="9:9" x14ac:dyDescent="0.5">
      <c r="I82">
        <v>81</v>
      </c>
    </row>
    <row r="83" spans="9:9" x14ac:dyDescent="0.5">
      <c r="I83">
        <v>82</v>
      </c>
    </row>
    <row r="84" spans="9:9" x14ac:dyDescent="0.5">
      <c r="I84">
        <v>83</v>
      </c>
    </row>
    <row r="85" spans="9:9" x14ac:dyDescent="0.5">
      <c r="I85">
        <v>84</v>
      </c>
    </row>
    <row r="86" spans="9:9" x14ac:dyDescent="0.5">
      <c r="I86">
        <v>85</v>
      </c>
    </row>
    <row r="87" spans="9:9" x14ac:dyDescent="0.5">
      <c r="I87">
        <v>86</v>
      </c>
    </row>
    <row r="88" spans="9:9" x14ac:dyDescent="0.5">
      <c r="I88">
        <v>87</v>
      </c>
    </row>
    <row r="89" spans="9:9" x14ac:dyDescent="0.5">
      <c r="I89">
        <v>88</v>
      </c>
    </row>
    <row r="90" spans="9:9" x14ac:dyDescent="0.5">
      <c r="I90">
        <v>89</v>
      </c>
    </row>
    <row r="91" spans="9:9" x14ac:dyDescent="0.5">
      <c r="I91">
        <v>90</v>
      </c>
    </row>
    <row r="92" spans="9:9" x14ac:dyDescent="0.5">
      <c r="I92">
        <v>91</v>
      </c>
    </row>
    <row r="93" spans="9:9" x14ac:dyDescent="0.5">
      <c r="I93">
        <v>92</v>
      </c>
    </row>
    <row r="94" spans="9:9" x14ac:dyDescent="0.5">
      <c r="I94">
        <v>93</v>
      </c>
    </row>
    <row r="95" spans="9:9" x14ac:dyDescent="0.5">
      <c r="I95">
        <v>94</v>
      </c>
    </row>
    <row r="96" spans="9:9" x14ac:dyDescent="0.5">
      <c r="I96">
        <v>95</v>
      </c>
    </row>
    <row r="97" spans="9:9" x14ac:dyDescent="0.5">
      <c r="I97">
        <v>96</v>
      </c>
    </row>
    <row r="98" spans="9:9" x14ac:dyDescent="0.5">
      <c r="I98">
        <v>97</v>
      </c>
    </row>
    <row r="99" spans="9:9" x14ac:dyDescent="0.5">
      <c r="I99">
        <v>98</v>
      </c>
    </row>
    <row r="100" spans="9:9" x14ac:dyDescent="0.5">
      <c r="I100">
        <v>99</v>
      </c>
    </row>
    <row r="101" spans="9:9" x14ac:dyDescent="0.5">
      <c r="I101">
        <v>100</v>
      </c>
    </row>
    <row r="102" spans="9:9" x14ac:dyDescent="0.5">
      <c r="I102">
        <v>101</v>
      </c>
    </row>
    <row r="103" spans="9:9" x14ac:dyDescent="0.5">
      <c r="I103">
        <v>102</v>
      </c>
    </row>
    <row r="104" spans="9:9" x14ac:dyDescent="0.5">
      <c r="I104">
        <v>103</v>
      </c>
    </row>
    <row r="105" spans="9:9" x14ac:dyDescent="0.5">
      <c r="I105">
        <v>104</v>
      </c>
    </row>
    <row r="106" spans="9:9" x14ac:dyDescent="0.5">
      <c r="I106">
        <v>105</v>
      </c>
    </row>
    <row r="107" spans="9:9" x14ac:dyDescent="0.5">
      <c r="I107">
        <v>106</v>
      </c>
    </row>
    <row r="108" spans="9:9" x14ac:dyDescent="0.5">
      <c r="I108">
        <v>107</v>
      </c>
    </row>
    <row r="109" spans="9:9" x14ac:dyDescent="0.5">
      <c r="I109">
        <v>108</v>
      </c>
    </row>
    <row r="110" spans="9:9" x14ac:dyDescent="0.5">
      <c r="I110">
        <v>109</v>
      </c>
    </row>
    <row r="111" spans="9:9" x14ac:dyDescent="0.5">
      <c r="I111">
        <v>110</v>
      </c>
    </row>
    <row r="112" spans="9:9" x14ac:dyDescent="0.5">
      <c r="I112">
        <v>111</v>
      </c>
    </row>
    <row r="113" spans="9:9" x14ac:dyDescent="0.5">
      <c r="I113">
        <v>112</v>
      </c>
    </row>
    <row r="114" spans="9:9" x14ac:dyDescent="0.5">
      <c r="I114">
        <v>113</v>
      </c>
    </row>
    <row r="115" spans="9:9" x14ac:dyDescent="0.5">
      <c r="I115">
        <v>114</v>
      </c>
    </row>
    <row r="116" spans="9:9" x14ac:dyDescent="0.5">
      <c r="I116">
        <v>115</v>
      </c>
    </row>
    <row r="117" spans="9:9" x14ac:dyDescent="0.5">
      <c r="I117">
        <v>116</v>
      </c>
    </row>
    <row r="118" spans="9:9" x14ac:dyDescent="0.5">
      <c r="I118">
        <v>117</v>
      </c>
    </row>
    <row r="119" spans="9:9" x14ac:dyDescent="0.5">
      <c r="I119">
        <v>118</v>
      </c>
    </row>
    <row r="120" spans="9:9" x14ac:dyDescent="0.5">
      <c r="I120">
        <v>119</v>
      </c>
    </row>
    <row r="121" spans="9:9" x14ac:dyDescent="0.5">
      <c r="I121">
        <v>120</v>
      </c>
    </row>
    <row r="122" spans="9:9" x14ac:dyDescent="0.5">
      <c r="I122">
        <v>121</v>
      </c>
    </row>
    <row r="123" spans="9:9" x14ac:dyDescent="0.5">
      <c r="I123">
        <v>122</v>
      </c>
    </row>
    <row r="124" spans="9:9" x14ac:dyDescent="0.5">
      <c r="I124">
        <v>123</v>
      </c>
    </row>
    <row r="125" spans="9:9" x14ac:dyDescent="0.5">
      <c r="I125">
        <v>124</v>
      </c>
    </row>
    <row r="126" spans="9:9" x14ac:dyDescent="0.5">
      <c r="I126">
        <v>125</v>
      </c>
    </row>
    <row r="127" spans="9:9" x14ac:dyDescent="0.5">
      <c r="I127">
        <v>126</v>
      </c>
    </row>
    <row r="128" spans="9:9" x14ac:dyDescent="0.5">
      <c r="I128">
        <v>127</v>
      </c>
    </row>
    <row r="129" spans="9:9" x14ac:dyDescent="0.5">
      <c r="I129">
        <v>128</v>
      </c>
    </row>
    <row r="130" spans="9:9" x14ac:dyDescent="0.5">
      <c r="I130">
        <v>129</v>
      </c>
    </row>
    <row r="131" spans="9:9" x14ac:dyDescent="0.5">
      <c r="I131">
        <v>130</v>
      </c>
    </row>
    <row r="132" spans="9:9" x14ac:dyDescent="0.5">
      <c r="I132">
        <v>131</v>
      </c>
    </row>
    <row r="133" spans="9:9" x14ac:dyDescent="0.5">
      <c r="I133">
        <v>132</v>
      </c>
    </row>
    <row r="134" spans="9:9" x14ac:dyDescent="0.5">
      <c r="I134">
        <v>133</v>
      </c>
    </row>
    <row r="135" spans="9:9" x14ac:dyDescent="0.5">
      <c r="I135">
        <v>134</v>
      </c>
    </row>
    <row r="136" spans="9:9" x14ac:dyDescent="0.5">
      <c r="I136">
        <v>135</v>
      </c>
    </row>
    <row r="137" spans="9:9" x14ac:dyDescent="0.5">
      <c r="I137">
        <v>136</v>
      </c>
    </row>
    <row r="138" spans="9:9" x14ac:dyDescent="0.5">
      <c r="I138">
        <v>137</v>
      </c>
    </row>
    <row r="139" spans="9:9" x14ac:dyDescent="0.5">
      <c r="I139">
        <v>138</v>
      </c>
    </row>
    <row r="140" spans="9:9" x14ac:dyDescent="0.5">
      <c r="I140">
        <v>139</v>
      </c>
    </row>
    <row r="141" spans="9:9" x14ac:dyDescent="0.5">
      <c r="I141">
        <v>140</v>
      </c>
    </row>
    <row r="142" spans="9:9" x14ac:dyDescent="0.5">
      <c r="I142">
        <v>141</v>
      </c>
    </row>
    <row r="143" spans="9:9" x14ac:dyDescent="0.5">
      <c r="I143">
        <v>142</v>
      </c>
    </row>
    <row r="144" spans="9:9" x14ac:dyDescent="0.5">
      <c r="I144">
        <v>143</v>
      </c>
    </row>
    <row r="145" spans="9:9" x14ac:dyDescent="0.5">
      <c r="I145">
        <v>144</v>
      </c>
    </row>
    <row r="146" spans="9:9" x14ac:dyDescent="0.5">
      <c r="I146">
        <v>145</v>
      </c>
    </row>
    <row r="147" spans="9:9" x14ac:dyDescent="0.5">
      <c r="I147">
        <v>146</v>
      </c>
    </row>
    <row r="148" spans="9:9" x14ac:dyDescent="0.5">
      <c r="I148">
        <v>147</v>
      </c>
    </row>
    <row r="149" spans="9:9" x14ac:dyDescent="0.5">
      <c r="I149">
        <v>148</v>
      </c>
    </row>
    <row r="150" spans="9:9" x14ac:dyDescent="0.5">
      <c r="I150">
        <v>149</v>
      </c>
    </row>
    <row r="151" spans="9:9" x14ac:dyDescent="0.5">
      <c r="I151">
        <v>150</v>
      </c>
    </row>
    <row r="152" spans="9:9" x14ac:dyDescent="0.5">
      <c r="I152">
        <v>151</v>
      </c>
    </row>
    <row r="153" spans="9:9" x14ac:dyDescent="0.5">
      <c r="I153">
        <v>152</v>
      </c>
    </row>
    <row r="154" spans="9:9" x14ac:dyDescent="0.5">
      <c r="I154">
        <v>153</v>
      </c>
    </row>
    <row r="155" spans="9:9" x14ac:dyDescent="0.5">
      <c r="I155">
        <v>154</v>
      </c>
    </row>
    <row r="156" spans="9:9" x14ac:dyDescent="0.5">
      <c r="I156">
        <v>155</v>
      </c>
    </row>
    <row r="157" spans="9:9" x14ac:dyDescent="0.5">
      <c r="I157">
        <v>156</v>
      </c>
    </row>
    <row r="158" spans="9:9" x14ac:dyDescent="0.5">
      <c r="I158">
        <v>157</v>
      </c>
    </row>
    <row r="159" spans="9:9" x14ac:dyDescent="0.5">
      <c r="I159">
        <v>158</v>
      </c>
    </row>
    <row r="160" spans="9:9" x14ac:dyDescent="0.5">
      <c r="I160">
        <v>159</v>
      </c>
    </row>
    <row r="161" spans="9:9" x14ac:dyDescent="0.5">
      <c r="I161">
        <v>160</v>
      </c>
    </row>
    <row r="162" spans="9:9" x14ac:dyDescent="0.5">
      <c r="I162">
        <v>161</v>
      </c>
    </row>
    <row r="163" spans="9:9" x14ac:dyDescent="0.5">
      <c r="I163">
        <v>162</v>
      </c>
    </row>
    <row r="164" spans="9:9" x14ac:dyDescent="0.5">
      <c r="I164">
        <v>163</v>
      </c>
    </row>
    <row r="165" spans="9:9" x14ac:dyDescent="0.5">
      <c r="I165">
        <v>164</v>
      </c>
    </row>
    <row r="166" spans="9:9" x14ac:dyDescent="0.5">
      <c r="I166">
        <v>165</v>
      </c>
    </row>
    <row r="167" spans="9:9" x14ac:dyDescent="0.5">
      <c r="I167">
        <v>166</v>
      </c>
    </row>
    <row r="168" spans="9:9" x14ac:dyDescent="0.5">
      <c r="I168">
        <v>167</v>
      </c>
    </row>
    <row r="169" spans="9:9" x14ac:dyDescent="0.5">
      <c r="I169">
        <v>168</v>
      </c>
    </row>
    <row r="170" spans="9:9" x14ac:dyDescent="0.5">
      <c r="I170">
        <v>169</v>
      </c>
    </row>
    <row r="171" spans="9:9" x14ac:dyDescent="0.5">
      <c r="I171">
        <v>170</v>
      </c>
    </row>
    <row r="172" spans="9:9" x14ac:dyDescent="0.5">
      <c r="I172">
        <v>171</v>
      </c>
    </row>
    <row r="173" spans="9:9" x14ac:dyDescent="0.5">
      <c r="I173">
        <v>172</v>
      </c>
    </row>
    <row r="174" spans="9:9" x14ac:dyDescent="0.5">
      <c r="I174">
        <v>173</v>
      </c>
    </row>
    <row r="175" spans="9:9" x14ac:dyDescent="0.5">
      <c r="I175">
        <v>174</v>
      </c>
    </row>
    <row r="176" spans="9:9" x14ac:dyDescent="0.5">
      <c r="I176">
        <v>175</v>
      </c>
    </row>
    <row r="177" spans="9:9" x14ac:dyDescent="0.5">
      <c r="I177">
        <v>176</v>
      </c>
    </row>
    <row r="178" spans="9:9" x14ac:dyDescent="0.5">
      <c r="I178">
        <v>177</v>
      </c>
    </row>
    <row r="179" spans="9:9" x14ac:dyDescent="0.5">
      <c r="I179">
        <v>178</v>
      </c>
    </row>
    <row r="180" spans="9:9" x14ac:dyDescent="0.5">
      <c r="I180">
        <v>179</v>
      </c>
    </row>
    <row r="181" spans="9:9" x14ac:dyDescent="0.5">
      <c r="I181">
        <v>180</v>
      </c>
    </row>
    <row r="182" spans="9:9" x14ac:dyDescent="0.5">
      <c r="I182">
        <v>181</v>
      </c>
    </row>
    <row r="183" spans="9:9" x14ac:dyDescent="0.5">
      <c r="I183">
        <v>182</v>
      </c>
    </row>
    <row r="184" spans="9:9" x14ac:dyDescent="0.5">
      <c r="I184">
        <v>183</v>
      </c>
    </row>
    <row r="185" spans="9:9" x14ac:dyDescent="0.5">
      <c r="I185">
        <v>184</v>
      </c>
    </row>
    <row r="186" spans="9:9" x14ac:dyDescent="0.5">
      <c r="I186">
        <v>185</v>
      </c>
    </row>
    <row r="187" spans="9:9" x14ac:dyDescent="0.5">
      <c r="I187">
        <v>186</v>
      </c>
    </row>
    <row r="188" spans="9:9" x14ac:dyDescent="0.5">
      <c r="I188">
        <v>187</v>
      </c>
    </row>
    <row r="189" spans="9:9" x14ac:dyDescent="0.5">
      <c r="I189">
        <v>188</v>
      </c>
    </row>
    <row r="190" spans="9:9" x14ac:dyDescent="0.5">
      <c r="I190">
        <v>189</v>
      </c>
    </row>
    <row r="191" spans="9:9" x14ac:dyDescent="0.5">
      <c r="I191">
        <v>190</v>
      </c>
    </row>
    <row r="192" spans="9:9" x14ac:dyDescent="0.5">
      <c r="I192">
        <v>191</v>
      </c>
    </row>
    <row r="193" spans="9:9" x14ac:dyDescent="0.5">
      <c r="I193">
        <v>192</v>
      </c>
    </row>
    <row r="194" spans="9:9" x14ac:dyDescent="0.5">
      <c r="I194">
        <v>193</v>
      </c>
    </row>
    <row r="195" spans="9:9" x14ac:dyDescent="0.5">
      <c r="I195">
        <v>194</v>
      </c>
    </row>
    <row r="196" spans="9:9" x14ac:dyDescent="0.5">
      <c r="I196">
        <v>195</v>
      </c>
    </row>
    <row r="197" spans="9:9" x14ac:dyDescent="0.5">
      <c r="I197">
        <v>196</v>
      </c>
    </row>
    <row r="198" spans="9:9" x14ac:dyDescent="0.5">
      <c r="I198">
        <v>197</v>
      </c>
    </row>
    <row r="199" spans="9:9" x14ac:dyDescent="0.5">
      <c r="I199">
        <v>198</v>
      </c>
    </row>
    <row r="200" spans="9:9" x14ac:dyDescent="0.5">
      <c r="I200">
        <v>199</v>
      </c>
    </row>
    <row r="201" spans="9:9" x14ac:dyDescent="0.5">
      <c r="I201">
        <v>200</v>
      </c>
    </row>
    <row r="202" spans="9:9" x14ac:dyDescent="0.5">
      <c r="I202">
        <v>201</v>
      </c>
    </row>
    <row r="203" spans="9:9" x14ac:dyDescent="0.5">
      <c r="I203">
        <v>202</v>
      </c>
    </row>
    <row r="204" spans="9:9" x14ac:dyDescent="0.5">
      <c r="I204">
        <v>203</v>
      </c>
    </row>
    <row r="205" spans="9:9" x14ac:dyDescent="0.5">
      <c r="I205">
        <v>204</v>
      </c>
    </row>
    <row r="206" spans="9:9" x14ac:dyDescent="0.5">
      <c r="I206">
        <v>205</v>
      </c>
    </row>
    <row r="207" spans="9:9" x14ac:dyDescent="0.5">
      <c r="I207">
        <v>206</v>
      </c>
    </row>
    <row r="208" spans="9:9" x14ac:dyDescent="0.5">
      <c r="I208">
        <v>207</v>
      </c>
    </row>
    <row r="209" spans="9:9" x14ac:dyDescent="0.5">
      <c r="I209">
        <v>208</v>
      </c>
    </row>
    <row r="210" spans="9:9" x14ac:dyDescent="0.5">
      <c r="I210">
        <v>209</v>
      </c>
    </row>
    <row r="211" spans="9:9" x14ac:dyDescent="0.5">
      <c r="I211">
        <v>210</v>
      </c>
    </row>
    <row r="212" spans="9:9" x14ac:dyDescent="0.5">
      <c r="I212">
        <v>211</v>
      </c>
    </row>
    <row r="213" spans="9:9" x14ac:dyDescent="0.5">
      <c r="I213">
        <v>212</v>
      </c>
    </row>
    <row r="214" spans="9:9" x14ac:dyDescent="0.5">
      <c r="I214">
        <v>213</v>
      </c>
    </row>
    <row r="215" spans="9:9" x14ac:dyDescent="0.5">
      <c r="I215">
        <v>214</v>
      </c>
    </row>
    <row r="216" spans="9:9" x14ac:dyDescent="0.5">
      <c r="I216">
        <v>215</v>
      </c>
    </row>
    <row r="217" spans="9:9" x14ac:dyDescent="0.5">
      <c r="I217">
        <v>216</v>
      </c>
    </row>
    <row r="218" spans="9:9" x14ac:dyDescent="0.5">
      <c r="I218">
        <v>217</v>
      </c>
    </row>
    <row r="219" spans="9:9" x14ac:dyDescent="0.5">
      <c r="I219">
        <v>218</v>
      </c>
    </row>
    <row r="220" spans="9:9" x14ac:dyDescent="0.5">
      <c r="I220">
        <v>219</v>
      </c>
    </row>
    <row r="221" spans="9:9" x14ac:dyDescent="0.5">
      <c r="I221">
        <v>220</v>
      </c>
    </row>
    <row r="222" spans="9:9" x14ac:dyDescent="0.5">
      <c r="I222">
        <v>221</v>
      </c>
    </row>
    <row r="223" spans="9:9" x14ac:dyDescent="0.5">
      <c r="I223">
        <v>222</v>
      </c>
    </row>
    <row r="224" spans="9:9" x14ac:dyDescent="0.5">
      <c r="I224">
        <v>223</v>
      </c>
    </row>
    <row r="225" spans="9:9" x14ac:dyDescent="0.5">
      <c r="I225">
        <v>224</v>
      </c>
    </row>
    <row r="226" spans="9:9" x14ac:dyDescent="0.5">
      <c r="I226">
        <v>225</v>
      </c>
    </row>
    <row r="227" spans="9:9" x14ac:dyDescent="0.5">
      <c r="I227">
        <v>226</v>
      </c>
    </row>
    <row r="228" spans="9:9" x14ac:dyDescent="0.5">
      <c r="I228">
        <v>227</v>
      </c>
    </row>
    <row r="229" spans="9:9" x14ac:dyDescent="0.5">
      <c r="I229">
        <v>228</v>
      </c>
    </row>
    <row r="230" spans="9:9" x14ac:dyDescent="0.5">
      <c r="I230">
        <v>229</v>
      </c>
    </row>
    <row r="231" spans="9:9" x14ac:dyDescent="0.5">
      <c r="I231">
        <v>230</v>
      </c>
    </row>
    <row r="232" spans="9:9" x14ac:dyDescent="0.5">
      <c r="I232">
        <v>231</v>
      </c>
    </row>
    <row r="233" spans="9:9" x14ac:dyDescent="0.5">
      <c r="I233">
        <v>232</v>
      </c>
    </row>
    <row r="234" spans="9:9" x14ac:dyDescent="0.5">
      <c r="I234">
        <v>233</v>
      </c>
    </row>
    <row r="235" spans="9:9" x14ac:dyDescent="0.5">
      <c r="I235">
        <v>234</v>
      </c>
    </row>
    <row r="236" spans="9:9" x14ac:dyDescent="0.5">
      <c r="I236">
        <v>235</v>
      </c>
    </row>
    <row r="237" spans="9:9" x14ac:dyDescent="0.5">
      <c r="I237">
        <v>236</v>
      </c>
    </row>
    <row r="238" spans="9:9" x14ac:dyDescent="0.5">
      <c r="I238">
        <v>237</v>
      </c>
    </row>
    <row r="239" spans="9:9" x14ac:dyDescent="0.5">
      <c r="I239">
        <v>238</v>
      </c>
    </row>
    <row r="240" spans="9:9" x14ac:dyDescent="0.5">
      <c r="I240">
        <v>239</v>
      </c>
    </row>
    <row r="241" spans="9:9" x14ac:dyDescent="0.5">
      <c r="I241">
        <v>240</v>
      </c>
    </row>
    <row r="242" spans="9:9" x14ac:dyDescent="0.5">
      <c r="I242">
        <v>241</v>
      </c>
    </row>
    <row r="243" spans="9:9" x14ac:dyDescent="0.5">
      <c r="I243">
        <v>242</v>
      </c>
    </row>
    <row r="244" spans="9:9" x14ac:dyDescent="0.5">
      <c r="I244">
        <v>243</v>
      </c>
    </row>
    <row r="245" spans="9:9" x14ac:dyDescent="0.5">
      <c r="I245">
        <v>244</v>
      </c>
    </row>
    <row r="246" spans="9:9" x14ac:dyDescent="0.5">
      <c r="I246">
        <v>245</v>
      </c>
    </row>
    <row r="247" spans="9:9" x14ac:dyDescent="0.5">
      <c r="I247">
        <v>246</v>
      </c>
    </row>
    <row r="248" spans="9:9" x14ac:dyDescent="0.5">
      <c r="I248">
        <v>247</v>
      </c>
    </row>
    <row r="249" spans="9:9" x14ac:dyDescent="0.5">
      <c r="I249">
        <v>248</v>
      </c>
    </row>
    <row r="250" spans="9:9" x14ac:dyDescent="0.5">
      <c r="I250">
        <v>249</v>
      </c>
    </row>
    <row r="251" spans="9:9" x14ac:dyDescent="0.5">
      <c r="I251">
        <v>250</v>
      </c>
    </row>
    <row r="252" spans="9:9" x14ac:dyDescent="0.5">
      <c r="I252">
        <v>251</v>
      </c>
    </row>
    <row r="253" spans="9:9" x14ac:dyDescent="0.5">
      <c r="I253">
        <v>252</v>
      </c>
    </row>
    <row r="254" spans="9:9" x14ac:dyDescent="0.5">
      <c r="I254">
        <v>253</v>
      </c>
    </row>
    <row r="255" spans="9:9" x14ac:dyDescent="0.5">
      <c r="I255">
        <v>254</v>
      </c>
    </row>
    <row r="256" spans="9:9" x14ac:dyDescent="0.5">
      <c r="I256">
        <v>255</v>
      </c>
    </row>
    <row r="257" spans="9:9" x14ac:dyDescent="0.5">
      <c r="I257">
        <v>256</v>
      </c>
    </row>
    <row r="258" spans="9:9" x14ac:dyDescent="0.5">
      <c r="I258">
        <v>257</v>
      </c>
    </row>
    <row r="259" spans="9:9" x14ac:dyDescent="0.5">
      <c r="I259">
        <v>258</v>
      </c>
    </row>
    <row r="260" spans="9:9" x14ac:dyDescent="0.5">
      <c r="I260">
        <v>259</v>
      </c>
    </row>
    <row r="261" spans="9:9" x14ac:dyDescent="0.5">
      <c r="I261">
        <v>260</v>
      </c>
    </row>
    <row r="262" spans="9:9" x14ac:dyDescent="0.5">
      <c r="I262">
        <v>261</v>
      </c>
    </row>
    <row r="263" spans="9:9" x14ac:dyDescent="0.5">
      <c r="I263">
        <v>262</v>
      </c>
    </row>
    <row r="264" spans="9:9" x14ac:dyDescent="0.5">
      <c r="I264">
        <v>263</v>
      </c>
    </row>
    <row r="265" spans="9:9" x14ac:dyDescent="0.5">
      <c r="I265">
        <v>264</v>
      </c>
    </row>
    <row r="266" spans="9:9" x14ac:dyDescent="0.5">
      <c r="I266">
        <v>265</v>
      </c>
    </row>
    <row r="267" spans="9:9" x14ac:dyDescent="0.5">
      <c r="I267">
        <v>266</v>
      </c>
    </row>
    <row r="268" spans="9:9" x14ac:dyDescent="0.5">
      <c r="I268">
        <v>267</v>
      </c>
    </row>
    <row r="269" spans="9:9" x14ac:dyDescent="0.5">
      <c r="I269">
        <v>268</v>
      </c>
    </row>
    <row r="270" spans="9:9" x14ac:dyDescent="0.5">
      <c r="I270">
        <v>269</v>
      </c>
    </row>
    <row r="271" spans="9:9" x14ac:dyDescent="0.5">
      <c r="I271">
        <v>270</v>
      </c>
    </row>
    <row r="272" spans="9:9" x14ac:dyDescent="0.5">
      <c r="I272">
        <v>271</v>
      </c>
    </row>
    <row r="273" spans="9:9" x14ac:dyDescent="0.5">
      <c r="I273">
        <v>272</v>
      </c>
    </row>
    <row r="274" spans="9:9" x14ac:dyDescent="0.5">
      <c r="I274">
        <v>273</v>
      </c>
    </row>
    <row r="275" spans="9:9" x14ac:dyDescent="0.5">
      <c r="I275">
        <v>274</v>
      </c>
    </row>
    <row r="276" spans="9:9" x14ac:dyDescent="0.5">
      <c r="I276">
        <v>275</v>
      </c>
    </row>
    <row r="277" spans="9:9" x14ac:dyDescent="0.5">
      <c r="I277">
        <v>276</v>
      </c>
    </row>
    <row r="278" spans="9:9" x14ac:dyDescent="0.5">
      <c r="I278">
        <v>277</v>
      </c>
    </row>
    <row r="279" spans="9:9" x14ac:dyDescent="0.5">
      <c r="I279">
        <v>278</v>
      </c>
    </row>
    <row r="280" spans="9:9" x14ac:dyDescent="0.5">
      <c r="I280">
        <v>279</v>
      </c>
    </row>
    <row r="281" spans="9:9" x14ac:dyDescent="0.5">
      <c r="I281">
        <v>280</v>
      </c>
    </row>
    <row r="282" spans="9:9" x14ac:dyDescent="0.5">
      <c r="I282">
        <v>281</v>
      </c>
    </row>
    <row r="283" spans="9:9" x14ac:dyDescent="0.5">
      <c r="I283">
        <v>282</v>
      </c>
    </row>
    <row r="284" spans="9:9" x14ac:dyDescent="0.5">
      <c r="I284">
        <v>283</v>
      </c>
    </row>
    <row r="285" spans="9:9" x14ac:dyDescent="0.5">
      <c r="I285">
        <v>284</v>
      </c>
    </row>
    <row r="286" spans="9:9" x14ac:dyDescent="0.5">
      <c r="I286">
        <v>285</v>
      </c>
    </row>
    <row r="287" spans="9:9" x14ac:dyDescent="0.5">
      <c r="I287">
        <v>286</v>
      </c>
    </row>
    <row r="288" spans="9:9" x14ac:dyDescent="0.5">
      <c r="I288">
        <v>287</v>
      </c>
    </row>
    <row r="289" spans="9:9" x14ac:dyDescent="0.5">
      <c r="I289">
        <v>288</v>
      </c>
    </row>
    <row r="290" spans="9:9" x14ac:dyDescent="0.5">
      <c r="I290">
        <v>289</v>
      </c>
    </row>
    <row r="291" spans="9:9" x14ac:dyDescent="0.5">
      <c r="I291">
        <v>290</v>
      </c>
    </row>
    <row r="292" spans="9:9" x14ac:dyDescent="0.5">
      <c r="I292">
        <v>291</v>
      </c>
    </row>
    <row r="293" spans="9:9" x14ac:dyDescent="0.5">
      <c r="I293">
        <v>292</v>
      </c>
    </row>
    <row r="294" spans="9:9" x14ac:dyDescent="0.5">
      <c r="I294">
        <v>293</v>
      </c>
    </row>
    <row r="295" spans="9:9" x14ac:dyDescent="0.5">
      <c r="I295">
        <v>294</v>
      </c>
    </row>
    <row r="296" spans="9:9" x14ac:dyDescent="0.5">
      <c r="I296">
        <v>295</v>
      </c>
    </row>
    <row r="297" spans="9:9" x14ac:dyDescent="0.5">
      <c r="I297">
        <v>296</v>
      </c>
    </row>
    <row r="298" spans="9:9" x14ac:dyDescent="0.5">
      <c r="I298">
        <v>297</v>
      </c>
    </row>
    <row r="299" spans="9:9" x14ac:dyDescent="0.5">
      <c r="I299">
        <v>298</v>
      </c>
    </row>
    <row r="300" spans="9:9" x14ac:dyDescent="0.5">
      <c r="I300">
        <v>299</v>
      </c>
    </row>
    <row r="301" spans="9:9" x14ac:dyDescent="0.5">
      <c r="I301">
        <v>300</v>
      </c>
    </row>
    <row r="302" spans="9:9" x14ac:dyDescent="0.5">
      <c r="I302">
        <v>301</v>
      </c>
    </row>
    <row r="303" spans="9:9" x14ac:dyDescent="0.5">
      <c r="I303">
        <v>302</v>
      </c>
    </row>
    <row r="304" spans="9:9" x14ac:dyDescent="0.5">
      <c r="I304">
        <v>303</v>
      </c>
    </row>
    <row r="305" spans="9:9" x14ac:dyDescent="0.5">
      <c r="I305">
        <v>304</v>
      </c>
    </row>
    <row r="306" spans="9:9" x14ac:dyDescent="0.5">
      <c r="I306">
        <v>305</v>
      </c>
    </row>
    <row r="307" spans="9:9" x14ac:dyDescent="0.5">
      <c r="I307">
        <v>306</v>
      </c>
    </row>
    <row r="308" spans="9:9" x14ac:dyDescent="0.5">
      <c r="I308">
        <v>307</v>
      </c>
    </row>
    <row r="309" spans="9:9" x14ac:dyDescent="0.5">
      <c r="I309">
        <v>308</v>
      </c>
    </row>
    <row r="310" spans="9:9" x14ac:dyDescent="0.5">
      <c r="I310">
        <v>309</v>
      </c>
    </row>
    <row r="311" spans="9:9" x14ac:dyDescent="0.5">
      <c r="I311">
        <v>310</v>
      </c>
    </row>
    <row r="312" spans="9:9" x14ac:dyDescent="0.5">
      <c r="I312">
        <v>311</v>
      </c>
    </row>
    <row r="313" spans="9:9" x14ac:dyDescent="0.5">
      <c r="I313">
        <v>312</v>
      </c>
    </row>
    <row r="314" spans="9:9" x14ac:dyDescent="0.5">
      <c r="I314">
        <v>313</v>
      </c>
    </row>
    <row r="315" spans="9:9" x14ac:dyDescent="0.5">
      <c r="I315">
        <v>314</v>
      </c>
    </row>
    <row r="316" spans="9:9" x14ac:dyDescent="0.5">
      <c r="I316">
        <v>315</v>
      </c>
    </row>
    <row r="317" spans="9:9" x14ac:dyDescent="0.5">
      <c r="I317">
        <v>316</v>
      </c>
    </row>
    <row r="318" spans="9:9" x14ac:dyDescent="0.5">
      <c r="I318">
        <v>317</v>
      </c>
    </row>
    <row r="319" spans="9:9" x14ac:dyDescent="0.5">
      <c r="I319">
        <v>318</v>
      </c>
    </row>
    <row r="320" spans="9:9" x14ac:dyDescent="0.5">
      <c r="I320">
        <v>319</v>
      </c>
    </row>
    <row r="321" spans="9:9" x14ac:dyDescent="0.5">
      <c r="I321">
        <v>320</v>
      </c>
    </row>
    <row r="322" spans="9:9" x14ac:dyDescent="0.5">
      <c r="I322">
        <v>321</v>
      </c>
    </row>
    <row r="323" spans="9:9" x14ac:dyDescent="0.5">
      <c r="I323">
        <v>322</v>
      </c>
    </row>
    <row r="324" spans="9:9" x14ac:dyDescent="0.5">
      <c r="I324">
        <v>323</v>
      </c>
    </row>
    <row r="325" spans="9:9" x14ac:dyDescent="0.5">
      <c r="I325">
        <v>324</v>
      </c>
    </row>
    <row r="326" spans="9:9" x14ac:dyDescent="0.5">
      <c r="I326">
        <v>325</v>
      </c>
    </row>
    <row r="327" spans="9:9" x14ac:dyDescent="0.5">
      <c r="I327">
        <v>326</v>
      </c>
    </row>
    <row r="328" spans="9:9" x14ac:dyDescent="0.5">
      <c r="I328">
        <v>327</v>
      </c>
    </row>
    <row r="329" spans="9:9" x14ac:dyDescent="0.5">
      <c r="I329">
        <v>328</v>
      </c>
    </row>
    <row r="330" spans="9:9" x14ac:dyDescent="0.5">
      <c r="I330">
        <v>329</v>
      </c>
    </row>
    <row r="331" spans="9:9" x14ac:dyDescent="0.5">
      <c r="I331">
        <v>330</v>
      </c>
    </row>
    <row r="332" spans="9:9" x14ac:dyDescent="0.5">
      <c r="I332">
        <v>331</v>
      </c>
    </row>
    <row r="333" spans="9:9" x14ac:dyDescent="0.5">
      <c r="I333">
        <v>332</v>
      </c>
    </row>
    <row r="334" spans="9:9" x14ac:dyDescent="0.5">
      <c r="I334">
        <v>333</v>
      </c>
    </row>
    <row r="335" spans="9:9" x14ac:dyDescent="0.5">
      <c r="I335">
        <v>334</v>
      </c>
    </row>
    <row r="336" spans="9:9" x14ac:dyDescent="0.5">
      <c r="I336">
        <v>335</v>
      </c>
    </row>
    <row r="337" spans="9:9" x14ac:dyDescent="0.5">
      <c r="I337">
        <v>336</v>
      </c>
    </row>
    <row r="338" spans="9:9" x14ac:dyDescent="0.5">
      <c r="I338">
        <v>337</v>
      </c>
    </row>
    <row r="339" spans="9:9" x14ac:dyDescent="0.5">
      <c r="I339">
        <v>338</v>
      </c>
    </row>
    <row r="340" spans="9:9" x14ac:dyDescent="0.5">
      <c r="I340">
        <v>339</v>
      </c>
    </row>
    <row r="341" spans="9:9" x14ac:dyDescent="0.5">
      <c r="I341">
        <v>340</v>
      </c>
    </row>
    <row r="342" spans="9:9" x14ac:dyDescent="0.5">
      <c r="I342">
        <v>341</v>
      </c>
    </row>
    <row r="343" spans="9:9" x14ac:dyDescent="0.5">
      <c r="I343">
        <v>342</v>
      </c>
    </row>
    <row r="344" spans="9:9" x14ac:dyDescent="0.5">
      <c r="I344">
        <v>343</v>
      </c>
    </row>
    <row r="345" spans="9:9" x14ac:dyDescent="0.5">
      <c r="I345">
        <v>344</v>
      </c>
    </row>
    <row r="346" spans="9:9" x14ac:dyDescent="0.5">
      <c r="I346">
        <v>345</v>
      </c>
    </row>
    <row r="347" spans="9:9" x14ac:dyDescent="0.5">
      <c r="I347">
        <v>346</v>
      </c>
    </row>
    <row r="348" spans="9:9" x14ac:dyDescent="0.5">
      <c r="I348">
        <v>347</v>
      </c>
    </row>
    <row r="349" spans="9:9" x14ac:dyDescent="0.5">
      <c r="I349">
        <v>348</v>
      </c>
    </row>
    <row r="350" spans="9:9" x14ac:dyDescent="0.5">
      <c r="I350">
        <v>349</v>
      </c>
    </row>
    <row r="351" spans="9:9" x14ac:dyDescent="0.5">
      <c r="I351">
        <v>350</v>
      </c>
    </row>
    <row r="352" spans="9:9" x14ac:dyDescent="0.5">
      <c r="I352">
        <v>351</v>
      </c>
    </row>
    <row r="353" spans="9:9" x14ac:dyDescent="0.5">
      <c r="I353">
        <v>352</v>
      </c>
    </row>
    <row r="354" spans="9:9" x14ac:dyDescent="0.5">
      <c r="I354">
        <v>353</v>
      </c>
    </row>
    <row r="355" spans="9:9" x14ac:dyDescent="0.5">
      <c r="I355">
        <v>354</v>
      </c>
    </row>
    <row r="356" spans="9:9" x14ac:dyDescent="0.5">
      <c r="I356">
        <v>355</v>
      </c>
    </row>
    <row r="357" spans="9:9" x14ac:dyDescent="0.5">
      <c r="I357">
        <v>356</v>
      </c>
    </row>
    <row r="358" spans="9:9" x14ac:dyDescent="0.5">
      <c r="I358">
        <v>357</v>
      </c>
    </row>
    <row r="359" spans="9:9" x14ac:dyDescent="0.5">
      <c r="I359">
        <v>358</v>
      </c>
    </row>
    <row r="360" spans="9:9" x14ac:dyDescent="0.5">
      <c r="I360">
        <v>359</v>
      </c>
    </row>
    <row r="361" spans="9:9" x14ac:dyDescent="0.5">
      <c r="I361">
        <v>360</v>
      </c>
    </row>
    <row r="362" spans="9:9" x14ac:dyDescent="0.5">
      <c r="I362">
        <v>361</v>
      </c>
    </row>
    <row r="363" spans="9:9" x14ac:dyDescent="0.5">
      <c r="I363">
        <v>362</v>
      </c>
    </row>
    <row r="364" spans="9:9" x14ac:dyDescent="0.5">
      <c r="I364">
        <v>363</v>
      </c>
    </row>
    <row r="365" spans="9:9" x14ac:dyDescent="0.5">
      <c r="I365">
        <v>364</v>
      </c>
    </row>
    <row r="366" spans="9:9" x14ac:dyDescent="0.5">
      <c r="I366">
        <v>365</v>
      </c>
    </row>
    <row r="367" spans="9:9" x14ac:dyDescent="0.5">
      <c r="I367">
        <v>366</v>
      </c>
    </row>
    <row r="368" spans="9:9" x14ac:dyDescent="0.5">
      <c r="I368">
        <v>367</v>
      </c>
    </row>
    <row r="369" spans="9:9" x14ac:dyDescent="0.5">
      <c r="I369">
        <v>368</v>
      </c>
    </row>
    <row r="370" spans="9:9" x14ac:dyDescent="0.5">
      <c r="I370">
        <v>369</v>
      </c>
    </row>
    <row r="371" spans="9:9" x14ac:dyDescent="0.5">
      <c r="I371">
        <v>370</v>
      </c>
    </row>
    <row r="372" spans="9:9" x14ac:dyDescent="0.5">
      <c r="I372">
        <v>371</v>
      </c>
    </row>
    <row r="373" spans="9:9" x14ac:dyDescent="0.5">
      <c r="I373">
        <v>372</v>
      </c>
    </row>
    <row r="374" spans="9:9" x14ac:dyDescent="0.5">
      <c r="I374">
        <v>373</v>
      </c>
    </row>
    <row r="375" spans="9:9" x14ac:dyDescent="0.5">
      <c r="I375">
        <v>374</v>
      </c>
    </row>
    <row r="376" spans="9:9" x14ac:dyDescent="0.5">
      <c r="I376">
        <v>375</v>
      </c>
    </row>
    <row r="377" spans="9:9" x14ac:dyDescent="0.5">
      <c r="I377">
        <v>376</v>
      </c>
    </row>
    <row r="378" spans="9:9" x14ac:dyDescent="0.5">
      <c r="I378">
        <v>377</v>
      </c>
    </row>
    <row r="379" spans="9:9" x14ac:dyDescent="0.5">
      <c r="I379">
        <v>378</v>
      </c>
    </row>
    <row r="380" spans="9:9" x14ac:dyDescent="0.5">
      <c r="I380">
        <v>379</v>
      </c>
    </row>
    <row r="381" spans="9:9" x14ac:dyDescent="0.5">
      <c r="I381">
        <v>380</v>
      </c>
    </row>
    <row r="382" spans="9:9" x14ac:dyDescent="0.5">
      <c r="I382">
        <v>381</v>
      </c>
    </row>
    <row r="383" spans="9:9" x14ac:dyDescent="0.5">
      <c r="I383">
        <v>382</v>
      </c>
    </row>
    <row r="384" spans="9:9" x14ac:dyDescent="0.5">
      <c r="I384">
        <v>383</v>
      </c>
    </row>
    <row r="385" spans="9:9" x14ac:dyDescent="0.5">
      <c r="I385">
        <v>384</v>
      </c>
    </row>
    <row r="386" spans="9:9" x14ac:dyDescent="0.5">
      <c r="I386">
        <v>385</v>
      </c>
    </row>
    <row r="387" spans="9:9" x14ac:dyDescent="0.5">
      <c r="I387">
        <v>386</v>
      </c>
    </row>
    <row r="388" spans="9:9" x14ac:dyDescent="0.5">
      <c r="I388">
        <v>387</v>
      </c>
    </row>
    <row r="389" spans="9:9" x14ac:dyDescent="0.5">
      <c r="I389">
        <v>388</v>
      </c>
    </row>
    <row r="390" spans="9:9" x14ac:dyDescent="0.5">
      <c r="I390">
        <v>389</v>
      </c>
    </row>
    <row r="391" spans="9:9" x14ac:dyDescent="0.5">
      <c r="I391">
        <v>390</v>
      </c>
    </row>
    <row r="392" spans="9:9" x14ac:dyDescent="0.5">
      <c r="I392">
        <v>391</v>
      </c>
    </row>
    <row r="393" spans="9:9" x14ac:dyDescent="0.5">
      <c r="I393">
        <v>392</v>
      </c>
    </row>
    <row r="394" spans="9:9" x14ac:dyDescent="0.5">
      <c r="I394">
        <v>393</v>
      </c>
    </row>
    <row r="395" spans="9:9" x14ac:dyDescent="0.5">
      <c r="I395">
        <v>394</v>
      </c>
    </row>
    <row r="396" spans="9:9" x14ac:dyDescent="0.5">
      <c r="I396">
        <v>395</v>
      </c>
    </row>
    <row r="397" spans="9:9" x14ac:dyDescent="0.5">
      <c r="I397">
        <v>396</v>
      </c>
    </row>
    <row r="398" spans="9:9" x14ac:dyDescent="0.5">
      <c r="I398">
        <v>397</v>
      </c>
    </row>
    <row r="399" spans="9:9" x14ac:dyDescent="0.5">
      <c r="I399">
        <v>398</v>
      </c>
    </row>
    <row r="400" spans="9:9" x14ac:dyDescent="0.5">
      <c r="I400">
        <v>399</v>
      </c>
    </row>
    <row r="401" spans="9:9" x14ac:dyDescent="0.5">
      <c r="I401">
        <v>400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10BF3E739F84BA1FD811A85DF08FE" ma:contentTypeVersion="8" ma:contentTypeDescription="Crée un document." ma:contentTypeScope="" ma:versionID="ed2591b5c293a8e317590c1fd7c92002">
  <xsd:schema xmlns:xsd="http://www.w3.org/2001/XMLSchema" xmlns:xs="http://www.w3.org/2001/XMLSchema" xmlns:p="http://schemas.microsoft.com/office/2006/metadata/properties" xmlns:ns2="222529e9-bc13-491f-b28a-826aeca3d85a" targetNamespace="http://schemas.microsoft.com/office/2006/metadata/properties" ma:root="true" ma:fieldsID="ed41e1615223e4ccc6b5a1bc6b0b4ed0" ns2:_="">
    <xsd:import namespace="222529e9-bc13-491f-b28a-826aeca3d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529e9-bc13-491f-b28a-826aeca3d8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6C0D7E-BC53-426E-B6B2-CF151180AE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35738C-59D1-4E43-90E5-53758BAB66B1}"/>
</file>

<file path=customXml/itemProps3.xml><?xml version="1.0" encoding="utf-8"?>
<ds:datastoreItem xmlns:ds="http://schemas.openxmlformats.org/officeDocument/2006/customXml" ds:itemID="{7022E542-E9D2-4E7D-90A5-3B1EEE92776E}">
  <ds:schemaRefs>
    <ds:schemaRef ds:uri="http://schemas.microsoft.com/office/infopath/2007/PartnerControls"/>
    <ds:schemaRef ds:uri="eb7e2eb6-e8a7-4c0e-873d-4a5fa855e9ea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ca98a215-3418-4f55-8af1-d18a8ca727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Reporting form</vt:lpstr>
      <vt:lpstr>Data</vt:lpstr>
      <vt:lpstr>'Reporting form'!Zone_d_impression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Laurent Bouyssou</dc:creator>
  <cp:lastModifiedBy>Yasmin PONCE COBOS</cp:lastModifiedBy>
  <cp:lastPrinted>2025-09-22T09:52:17Z</cp:lastPrinted>
  <dcterms:created xsi:type="dcterms:W3CDTF">2024-09-02T16:32:38Z</dcterms:created>
  <dcterms:modified xsi:type="dcterms:W3CDTF">2025-09-22T09:52:18Z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0x01010086110BF3E739F84BA1FD811A85DF08FE</vt:lpwstr>
  </property>
  <property fmtid="{D5CDD505-2E9C-101B-9397-08002B2CF9AE}" pid="3" name="MediaServiceImageTags">
    <vt:lpwstr/>
  </property>
  <property fmtid="{D5CDD505-2E9C-101B-9397-08002B2CF9AE}" pid="4" name="Order">
    <vt:r8>7058400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