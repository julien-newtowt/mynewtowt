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towtfrance.sharepoint.com/sites/NASDIRECTIONFLOTTE/Documents partages/Service Technique/13 - Carbon Report/"/>
    </mc:Choice>
  </mc:AlternateContent>
  <xr:revisionPtr revIDLastSave="1303" documentId="13_ncr:1_{5BFC15FB-499C-4C51-80A6-E7C65B86D18A}" xr6:coauthVersionLast="47" xr6:coauthVersionMax="47" xr10:uidLastSave="{4BE21D59-4DB0-469E-BB57-D14336545E0D}"/>
  <bookViews>
    <workbookView xWindow="-98" yWindow="-98" windowWidth="19396" windowHeight="11475" xr2:uid="{0EF6371A-8D11-FC46-83F5-BDB2CA0ED51F}"/>
  </bookViews>
  <sheets>
    <sheet name="Reporting form" sheetId="2" r:id="rId1"/>
    <sheet name="Data" sheetId="3" state="hidden" r:id="rId2"/>
  </sheets>
  <definedNames>
    <definedName name="D">'Reporting form'!$G$10</definedName>
    <definedName name="DA">'Reporting form'!$B$36</definedName>
    <definedName name="DB">'Reporting form'!$B$39</definedName>
    <definedName name="dc">'Reporting form'!$B$40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3" i="2" l="1"/>
  <c r="G122" i="2"/>
  <c r="B123" i="2"/>
  <c r="B122" i="2"/>
  <c r="G106" i="2"/>
  <c r="G105" i="2"/>
  <c r="B106" i="2"/>
  <c r="B105" i="2"/>
  <c r="G89" i="2"/>
  <c r="G88" i="2"/>
  <c r="B89" i="2"/>
  <c r="B88" i="2"/>
  <c r="G72" i="2"/>
  <c r="G71" i="2"/>
  <c r="B72" i="2"/>
  <c r="B71" i="2"/>
  <c r="G29" i="2"/>
  <c r="G28" i="2"/>
  <c r="B29" i="2"/>
  <c r="B28" i="2"/>
  <c r="C22" i="2" a="1"/>
  <c r="C22" i="2" s="1"/>
  <c r="N36" i="2" l="1"/>
  <c r="D36" i="2"/>
  <c r="P102" i="2" l="1"/>
  <c r="P119" i="2"/>
  <c r="P85" i="2"/>
  <c r="P68" i="2" l="1"/>
  <c r="G36" i="2"/>
  <c r="P37" i="2" l="1"/>
  <c r="P38" i="2"/>
  <c r="P39" i="2"/>
  <c r="P40" i="2"/>
  <c r="P36" i="2"/>
  <c r="G40" i="2" a="1"/>
  <c r="G40" i="2" s="1"/>
  <c r="G39" i="2"/>
  <c r="G38" i="2"/>
  <c r="G37" i="2"/>
  <c r="F41" i="2"/>
  <c r="D10" i="2" s="1"/>
  <c r="J40" i="2" a="1"/>
  <c r="J40" i="2" s="1"/>
  <c r="M40" i="2"/>
  <c r="N40" i="2"/>
  <c r="K41" i="2"/>
  <c r="H41" i="2"/>
  <c r="D40" i="2"/>
  <c r="C41" i="2"/>
  <c r="H42" i="2" s="1"/>
  <c r="N37" i="2"/>
  <c r="M37" i="2"/>
  <c r="J37" i="2"/>
  <c r="D37" i="2"/>
  <c r="N38" i="2"/>
  <c r="M38" i="2"/>
  <c r="J38" i="2"/>
  <c r="D38" i="2"/>
  <c r="H43" i="2" l="1"/>
  <c r="J43" i="2" s="1"/>
  <c r="K42" i="2"/>
  <c r="N26" i="2"/>
  <c r="N27" i="2" s="1"/>
  <c r="G41" i="2"/>
  <c r="D11" i="2" s="1"/>
  <c r="K43" i="2" l="1"/>
  <c r="M43" i="2" s="1"/>
  <c r="M39" i="2"/>
  <c r="D39" i="2"/>
  <c r="J39" i="2"/>
  <c r="M36" i="2"/>
  <c r="L59" i="2"/>
  <c r="N39" i="2"/>
  <c r="N41" i="2" s="1"/>
  <c r="N132" i="2"/>
  <c r="P132" i="2" s="1"/>
  <c r="M132" i="2"/>
  <c r="N131" i="2"/>
  <c r="P131" i="2" s="1"/>
  <c r="M131" i="2"/>
  <c r="N130" i="2"/>
  <c r="P130" i="2" s="1"/>
  <c r="M130" i="2"/>
  <c r="N129" i="2"/>
  <c r="P129" i="2" s="1"/>
  <c r="M129" i="2"/>
  <c r="N115" i="2"/>
  <c r="P115" i="2" s="1"/>
  <c r="M115" i="2"/>
  <c r="N114" i="2"/>
  <c r="P114" i="2" s="1"/>
  <c r="M114" i="2"/>
  <c r="N113" i="2"/>
  <c r="P113" i="2" s="1"/>
  <c r="M113" i="2"/>
  <c r="N112" i="2"/>
  <c r="P112" i="2" s="1"/>
  <c r="M112" i="2"/>
  <c r="D41" i="2" l="1"/>
  <c r="M41" i="2"/>
  <c r="M59" i="2"/>
  <c r="O114" i="2"/>
  <c r="O113" i="2"/>
  <c r="O129" i="2"/>
  <c r="O130" i="2"/>
  <c r="O132" i="2"/>
  <c r="O131" i="2"/>
  <c r="Q129" i="2"/>
  <c r="O112" i="2"/>
  <c r="O115" i="2"/>
  <c r="Q131" i="2"/>
  <c r="Q114" i="2"/>
  <c r="Q112" i="2"/>
  <c r="G57" i="2" l="1"/>
  <c r="B57" i="2"/>
  <c r="B49" i="2"/>
  <c r="K52" i="2" l="1"/>
  <c r="L52" i="2"/>
  <c r="K53" i="2"/>
  <c r="L53" i="2"/>
  <c r="K54" i="2"/>
  <c r="L54" i="2"/>
  <c r="L51" i="2"/>
  <c r="K51" i="2"/>
  <c r="B8" i="2" l="1"/>
  <c r="C8" i="2"/>
  <c r="N51" i="2"/>
  <c r="M51" i="2"/>
  <c r="N54" i="2"/>
  <c r="M54" i="2"/>
  <c r="N53" i="2"/>
  <c r="M53" i="2"/>
  <c r="N52" i="2"/>
  <c r="M52" i="2"/>
  <c r="N98" i="2"/>
  <c r="O98" i="2" s="1"/>
  <c r="M98" i="2"/>
  <c r="N97" i="2"/>
  <c r="O97" i="2" s="1"/>
  <c r="M97" i="2"/>
  <c r="N96" i="2"/>
  <c r="O96" i="2" s="1"/>
  <c r="M96" i="2"/>
  <c r="N95" i="2"/>
  <c r="O95" i="2" s="1"/>
  <c r="M95" i="2"/>
  <c r="N81" i="2"/>
  <c r="P81" i="2" s="1"/>
  <c r="M81" i="2"/>
  <c r="N80" i="2"/>
  <c r="P80" i="2" s="1"/>
  <c r="M80" i="2"/>
  <c r="N79" i="2"/>
  <c r="P79" i="2" s="1"/>
  <c r="M79" i="2"/>
  <c r="N78" i="2"/>
  <c r="P78" i="2" s="1"/>
  <c r="M78" i="2"/>
  <c r="L60" i="2"/>
  <c r="B15" i="2" s="1"/>
  <c r="L61" i="2"/>
  <c r="L62" i="2"/>
  <c r="M62" i="2" s="1"/>
  <c r="K60" i="2"/>
  <c r="K61" i="2"/>
  <c r="K62" i="2"/>
  <c r="K59" i="2"/>
  <c r="D8" i="2" l="1"/>
  <c r="M61" i="2"/>
  <c r="C15" i="2"/>
  <c r="C17" i="2" s="1"/>
  <c r="B17" i="2"/>
  <c r="D15" i="2"/>
  <c r="O51" i="2"/>
  <c r="B9" i="2" s="1"/>
  <c r="O53" i="2"/>
  <c r="C9" i="2" s="1"/>
  <c r="O81" i="2"/>
  <c r="M60" i="2"/>
  <c r="O78" i="2"/>
  <c r="O79" i="2"/>
  <c r="O80" i="2"/>
  <c r="P96" i="2"/>
  <c r="P95" i="2"/>
  <c r="P97" i="2"/>
  <c r="P98" i="2"/>
  <c r="D17" i="2" l="1"/>
  <c r="O59" i="2"/>
  <c r="N42" i="2" s="1"/>
  <c r="N43" i="2" s="1"/>
  <c r="F15" i="2" s="1"/>
  <c r="D9" i="2"/>
  <c r="Q80" i="2"/>
  <c r="Q97" i="2"/>
  <c r="Q95" i="2"/>
  <c r="J36" i="2"/>
  <c r="J41" i="2" s="1"/>
  <c r="Q78" i="2"/>
  <c r="P41" i="2" l="1"/>
  <c r="C44" i="2" l="1"/>
  <c r="J42" i="2" l="1"/>
  <c r="C16" i="2"/>
  <c r="B16" i="2"/>
  <c r="M42" i="2"/>
  <c r="B18" i="2"/>
  <c r="N59" i="2"/>
  <c r="N62" i="2"/>
  <c r="N61" i="2"/>
  <c r="N60" i="2"/>
  <c r="C18" i="2"/>
  <c r="D16" i="2" l="1"/>
  <c r="D18" i="2"/>
  <c r="K8" i="2" s="1"/>
  <c r="K12" i="2" s="1"/>
  <c r="P61" i="2"/>
  <c r="Q59" i="2"/>
  <c r="P59" i="2"/>
  <c r="M8" i="2" l="1"/>
  <c r="M12" i="2" s="1"/>
  <c r="N8" i="2"/>
  <c r="N11" i="2" s="1"/>
  <c r="L8" i="2"/>
  <c r="L12" i="2" s="1"/>
  <c r="K11" i="2"/>
  <c r="K10" i="2"/>
  <c r="K9" i="2"/>
  <c r="L9" i="2" l="1"/>
  <c r="L10" i="2"/>
  <c r="M9" i="2"/>
  <c r="L11" i="2"/>
  <c r="N9" i="2"/>
  <c r="N12" i="2"/>
  <c r="N10" i="2"/>
  <c r="M11" i="2"/>
  <c r="M1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<sst xmlns="http://schemas.openxmlformats.org/spreadsheetml/2006/main" count="448" uniqueCount="194">
  <si>
    <t>Vessel name:</t>
  </si>
  <si>
    <t>ANEMOS</t>
  </si>
  <si>
    <t>Voyage number :</t>
  </si>
  <si>
    <t>Distance Berth to Berth</t>
  </si>
  <si>
    <t>Departure port:</t>
  </si>
  <si>
    <t>FRFEC</t>
  </si>
  <si>
    <t>Arrival port:</t>
  </si>
  <si>
    <t>Time Berth to Berth [h]</t>
  </si>
  <si>
    <t>Date:</t>
  </si>
  <si>
    <t>Average speed</t>
  </si>
  <si>
    <t>ME</t>
  </si>
  <si>
    <t>AE</t>
  </si>
  <si>
    <t>TOTAL</t>
  </si>
  <si>
    <t>Time:</t>
  </si>
  <si>
    <t>UTC-1</t>
  </si>
  <si>
    <t>UTC-5</t>
  </si>
  <si>
    <t>UTC</t>
  </si>
  <si>
    <t>Cargo Quantity (B/L)</t>
  </si>
  <si>
    <t>Berth Latitude:</t>
  </si>
  <si>
    <t>N</t>
  </si>
  <si>
    <t>Berth Longitude:</t>
  </si>
  <si>
    <t>E</t>
  </si>
  <si>
    <t>Cargo Quantity (EU MRV)</t>
  </si>
  <si>
    <t>FUEL TANKS DISPATCH &amp; TOTAL CONSUMPTION ACCORDING TANK STATE</t>
  </si>
  <si>
    <t>Last arrival ROB</t>
  </si>
  <si>
    <t>Bunkering</t>
  </si>
  <si>
    <t>ROB Departure</t>
  </si>
  <si>
    <t>ROB on Arrival</t>
  </si>
  <si>
    <t>Consumption of crossing 
according tanks state</t>
  </si>
  <si>
    <t>Tank 14</t>
  </si>
  <si>
    <t>Tank 15</t>
  </si>
  <si>
    <t>Tank 16</t>
  </si>
  <si>
    <t>Tank 17</t>
  </si>
  <si>
    <t xml:space="preserve">Other tanks - DT &amp; Settling </t>
  </si>
  <si>
    <t>ACCORDING COUNTER</t>
  </si>
  <si>
    <t>ARRIVAL AT PIER</t>
  </si>
  <si>
    <t>CONSUMPTION DURING CALL  USING DO COUNTER</t>
  </si>
  <si>
    <t>Hours</t>
  </si>
  <si>
    <t>DO</t>
  </si>
  <si>
    <t>CONSO</t>
  </si>
  <si>
    <t>Port Main Engine</t>
  </si>
  <si>
    <t>Starboard Main Engine</t>
  </si>
  <si>
    <t>FWD Generator</t>
  </si>
  <si>
    <t>AFT Generator</t>
  </si>
  <si>
    <t>DEPARTURE FROM PIER</t>
  </si>
  <si>
    <t>TOTAL CONSUMPTION DURING CROSSING USING DO COUNTER (PIER TO PIER)</t>
  </si>
  <si>
    <t xml:space="preserve">DO </t>
  </si>
  <si>
    <t>ARRIVAL</t>
  </si>
  <si>
    <t>DEPARTURE</t>
  </si>
  <si>
    <t>TOTAL CONSUMPTION DURING OUT MRV TIME 1</t>
  </si>
  <si>
    <t>TOTAL CONSUMPTION DURING OUT MRV TIME 2</t>
  </si>
  <si>
    <t>TOTAL CONSUMPTION DURING OUT MRV TIME 3</t>
  </si>
  <si>
    <t>TOTAL CONSUMPTION DURING OUT MRV TIME 4</t>
  </si>
  <si>
    <t>ON</t>
  </si>
  <si>
    <t>Noon report</t>
  </si>
  <si>
    <t>UTC-12</t>
  </si>
  <si>
    <t>Le Havre</t>
  </si>
  <si>
    <t>Laden</t>
  </si>
  <si>
    <t>OFF</t>
  </si>
  <si>
    <t>ARTEMIS</t>
  </si>
  <si>
    <t>Arrival Report</t>
  </si>
  <si>
    <t>UTC-11</t>
  </si>
  <si>
    <t>S</t>
  </si>
  <si>
    <t>W</t>
  </si>
  <si>
    <t>New York</t>
  </si>
  <si>
    <t>Ballast</t>
  </si>
  <si>
    <t>Departure report</t>
  </si>
  <si>
    <t>UTC-10</t>
  </si>
  <si>
    <t>Quebec</t>
  </si>
  <si>
    <t>Partly laden</t>
  </si>
  <si>
    <t>UTC-9</t>
  </si>
  <si>
    <t>Santa Marta</t>
  </si>
  <si>
    <t>UTC-8</t>
  </si>
  <si>
    <t>UTC-7</t>
  </si>
  <si>
    <t>UTC-6</t>
  </si>
  <si>
    <t>UTC-4</t>
  </si>
  <si>
    <t>UTC-3</t>
  </si>
  <si>
    <t>UTC-2</t>
  </si>
  <si>
    <t>UTC+1</t>
  </si>
  <si>
    <t>UTC+2</t>
  </si>
  <si>
    <t>UTC+3</t>
  </si>
  <si>
    <t>UTC+4</t>
  </si>
  <si>
    <t>UTC+5</t>
  </si>
  <si>
    <t>UTC+6</t>
  </si>
  <si>
    <t>UTC+7</t>
  </si>
  <si>
    <t>UTC+8</t>
  </si>
  <si>
    <t>UTC+9</t>
  </si>
  <si>
    <t>UTC+10</t>
  </si>
  <si>
    <t>UTC+11</t>
  </si>
  <si>
    <t>UTC+12</t>
  </si>
  <si>
    <t>Legend</t>
  </si>
  <si>
    <t>Field name</t>
  </si>
  <si>
    <t>Fill data</t>
  </si>
  <si>
    <t>Fécamp</t>
  </si>
  <si>
    <t>OVERALL RESULTS</t>
  </si>
  <si>
    <t>VOYAGE DATA</t>
  </si>
  <si>
    <t xml:space="preserve"> TOTAL CONSUMPTION ACCORDING TO ENGINE COUNTERS</t>
  </si>
  <si>
    <t>Engine</t>
  </si>
  <si>
    <t>Anchorage Duration [hours] - (Not subject to MRV reporting)</t>
  </si>
  <si>
    <t>Running hours &amp; Consumption</t>
  </si>
  <si>
    <t>Running hours [h]</t>
  </si>
  <si>
    <t>Density of fuel [kg/dm3]</t>
  </si>
  <si>
    <t>CFOTE_09</t>
  </si>
  <si>
    <t>Rev02 2026-03-16</t>
  </si>
  <si>
    <t>TOWT Carbon Report Form</t>
  </si>
  <si>
    <t>Section name</t>
  </si>
  <si>
    <t>Do not fill - auto data/setting</t>
  </si>
  <si>
    <t>CO2</t>
  </si>
  <si>
    <t>CH4</t>
  </si>
  <si>
    <t>N2O</t>
  </si>
  <si>
    <t>Total</t>
  </si>
  <si>
    <t>Per mile</t>
  </si>
  <si>
    <t>Per tonne</t>
  </si>
  <si>
    <t>Per tonne per mile</t>
  </si>
  <si>
    <t>Source : MEPC.391(81)</t>
  </si>
  <si>
    <t>CO2 [gCO2/gDO]</t>
  </si>
  <si>
    <t>CH4 [gCH4/gDO]</t>
  </si>
  <si>
    <t>N2O [gN2O/gDO]</t>
  </si>
  <si>
    <t>WtT GHG intensity [gCO2eq/MJ]</t>
  </si>
  <si>
    <t>GHG</t>
  </si>
  <si>
    <t xml:space="preserve">VOYAGE BERTH TO BERTH CONSUMPTION                             </t>
  </si>
  <si>
    <t>TOTAL CONSUMPTION</t>
  </si>
  <si>
    <t>EU MRV* CO2 per t.nm</t>
  </si>
  <si>
    <t>EMISSION FACTOR SETTING</t>
  </si>
  <si>
    <t>DO EF</t>
  </si>
  <si>
    <t>VOYAGE BERTH TO BERTH CONSUMPTION &amp; EMISSIONS</t>
  </si>
  <si>
    <t xml:space="preserve">PORT CALL OPERATIONS                        </t>
  </si>
  <si>
    <t>BUNKERING</t>
  </si>
  <si>
    <t>MDO WARNING</t>
  </si>
  <si>
    <t>ADDITIONAL INFORMATION / MDO WARNING CLARIFICATION</t>
  </si>
  <si>
    <t>CONSUMPTION 
WITHOUT ANCHORING &amp; DRIFTING</t>
  </si>
  <si>
    <t>ATLANTIS</t>
  </si>
  <si>
    <t>ATLAS</t>
  </si>
  <si>
    <t>ARCHIMEDES</t>
  </si>
  <si>
    <t>ASTERIAS</t>
  </si>
  <si>
    <t>ARLES</t>
  </si>
  <si>
    <t>ATHENAIS</t>
  </si>
  <si>
    <t>Vessel</t>
  </si>
  <si>
    <t>IMO</t>
  </si>
  <si>
    <t>BEGIN ANCHORING/DRIFTING</t>
  </si>
  <si>
    <t>END ANCHORING/DRIFTING</t>
  </si>
  <si>
    <t xml:space="preserve">1ST ANCHORING OR DRIFTING </t>
  </si>
  <si>
    <t xml:space="preserve">2ND ANCHORING OR DRIFTING </t>
  </si>
  <si>
    <t xml:space="preserve">3RD ANCHORING OR DRIFTING </t>
  </si>
  <si>
    <t xml:space="preserve">4TH ANCHORING OR DRIFTING </t>
  </si>
  <si>
    <t>ANCHORING OR DRIFTING PERIODS</t>
  </si>
  <si>
    <t>Cargo Data</t>
  </si>
  <si>
    <t>TIME &amp; DISTANCE</t>
  </si>
  <si>
    <t>Density [t/m3]</t>
  </si>
  <si>
    <t>Average density of full consumed [t/m3]</t>
  </si>
  <si>
    <t>DO Counter [L]</t>
  </si>
  <si>
    <t>TOTAL [t]</t>
  </si>
  <si>
    <t>Anchoring/Drifting fields</t>
  </si>
  <si>
    <t>Date (UTC):</t>
  </si>
  <si>
    <t>Time (UTC):</t>
  </si>
  <si>
    <t>CONSO COUNTER / TANKS STATE DEVIATION</t>
  </si>
  <si>
    <t>1AFRUS6</t>
  </si>
  <si>
    <t>USNYC</t>
  </si>
  <si>
    <t>Newark</t>
  </si>
  <si>
    <t>Data Quality Evaluation</t>
  </si>
  <si>
    <t>Field</t>
  </si>
  <si>
    <t>Control Framework</t>
  </si>
  <si>
    <t>Statuts</t>
  </si>
  <si>
    <t>Clarification (if applicable)</t>
  </si>
  <si>
    <t>Departure Date</t>
  </si>
  <si>
    <t>Arrival Date</t>
  </si>
  <si>
    <t>End anchoring/drifting dates</t>
  </si>
  <si>
    <t>Voyage distance</t>
  </si>
  <si>
    <t>Satcom Thalos</t>
  </si>
  <si>
    <t>B/L</t>
  </si>
  <si>
    <t>Loading Plan</t>
  </si>
  <si>
    <t>Departure ROB</t>
  </si>
  <si>
    <t>Arrival ROB</t>
  </si>
  <si>
    <t>Port Call Consumption</t>
  </si>
  <si>
    <t>Voyage Consumption</t>
  </si>
  <si>
    <t>Initial Record</t>
  </si>
  <si>
    <t>Corrected Record</t>
  </si>
  <si>
    <t>Logic within report</t>
  </si>
  <si>
    <r>
      <t>Conform</t>
    </r>
    <r>
      <rPr>
        <sz val="12"/>
        <color theme="1"/>
        <rFont val="Calibri"/>
        <family val="2"/>
        <scheme val="minor"/>
      </rPr>
      <t>: Data is consistent with the source specified in the Control Framework. No further action required. The recorded value matches the reference data exactly.​</t>
    </r>
  </si>
  <si>
    <r>
      <t>Corrected</t>
    </r>
    <r>
      <rPr>
        <sz val="12"/>
        <color theme="1"/>
        <rFont val="Calibri"/>
        <family val="2"/>
        <scheme val="minor"/>
      </rPr>
      <t>: Value has been modified from the initial recording following verification and correction against the Control Framework source. The corrected value now aligns with the reference.​</t>
    </r>
  </si>
  <si>
    <r>
      <t>Clarified</t>
    </r>
    <r>
      <rPr>
        <sz val="12"/>
        <color theme="1"/>
        <rFont val="Calibri"/>
        <family val="2"/>
        <scheme val="minor"/>
      </rPr>
      <t>: Data maintained as initially recorded but requires explanation due to edge cases, uncertainty, methodological choices, or specific circumstances. No numerical change but context provided.​</t>
    </r>
  </si>
  <si>
    <r>
      <t>Under Conformity</t>
    </r>
    <r>
      <rPr>
        <sz val="12"/>
        <color theme="1"/>
        <rFont val="Calibri"/>
        <family val="2"/>
        <scheme val="minor"/>
      </rPr>
      <t>: Data is non-compliant or cannot be verified (missing data, source unavailable, unresolved inconsistency). Requires correction or escalation before final submission.</t>
    </r>
  </si>
  <si>
    <t>Previous report</t>
  </si>
  <si>
    <t>Status</t>
  </si>
  <si>
    <t>Date of last verification</t>
  </si>
  <si>
    <t>Begin anchoring/drifting dates</t>
  </si>
  <si>
    <t>Departure Port</t>
  </si>
  <si>
    <t>Arrival Port</t>
  </si>
  <si>
    <t>Begin anchoring/drifting positions</t>
  </si>
  <si>
    <t>Additionnal Information</t>
  </si>
  <si>
    <t>Departure Port Latitude/Longitude</t>
  </si>
  <si>
    <t>Arrival Port Latitude/Longitude</t>
  </si>
  <si>
    <t>End anchoring/drifting positions</t>
  </si>
  <si>
    <t>FLGO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</si>
</sst>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0.00\ \t"/>
    <numFmt numFmtId="165" formatCode="0.0\ \l\t\r"/>
    <numFmt numFmtId="166" formatCode="0.0\ \k\t"/>
    <numFmt numFmtId="167" formatCode="0.000\ \t"/>
    <numFmt numFmtId="168" formatCode="0.0\ &quot;NM&quot;"/>
    <numFmt numFmtId="169" formatCode="0.000\ &quot;tpl&quot;"/>
    <numFmt numFmtId="170" formatCode="0.000"/>
    <numFmt numFmtId="171" formatCode="0.00\ &quot;kg/t&quot;"/>
    <numFmt numFmtId="172" formatCode="#\ \°"/>
    <numFmt numFmtId="173" formatCode="##\ \'"/>
    <numFmt numFmtId="174" formatCode="0.00\ &quot;m3&quot;"/>
    <numFmt numFmtId="175" formatCode="0\ \L"/>
    <numFmt numFmtId="176" formatCode="0.0"/>
    <numFmt numFmtId="177" formatCode="0.00000"/>
    <numFmt numFmtId="178" formatCode="0.000\ &quot;kg/nm&quot;"/>
    <numFmt numFmtId="179" formatCode="0.00\ &quot;t&quot;"/>
    <numFmt numFmtId="180" formatCode="0.00\ &quot;g&quot;"/>
    <numFmt numFmtId="181" formatCode="0.000\ &quot;g/nm&quot;"/>
    <numFmt numFmtId="182" formatCode="0.00\ &quot;g/t.nm&quot;"/>
    <numFmt numFmtId="183" formatCode="0.00\ &quot;mg/t.nm&quot;"/>
    <numFmt numFmtId="184" formatCode="h:mm;@"/>
  </numFmts>
  <fonts count="13" x14ac:knownFonts="1">
    <font>
      <sz val="12"/>
      <color theme="1"/>
      <name val="Calibri"/>
      <family val="2"/>
      <scheme val="minor"/>
    </font>
    <font>
      <sz val="11"/>
      <color theme="1"/>
      <name val="Calibri"/>
      <family val="2"/>
      <scheme val="minor"/>
    </font>
    <font>
      <sz val="8"/>
      <name val="Calibri"/>
      <family val="2"/>
      <scheme val="minor"/>
    </font>
    <font>
      <b/>
      <sz val="12"/>
      <color theme="1"/>
      <name val="Calibri"/>
      <family val="2"/>
      <scheme val="minor"/>
    </font>
    <font>
      <b/>
      <sz val="28"/>
      <color theme="1"/>
      <name val="Calibri"/>
      <family val="2"/>
      <scheme val="minor"/>
    </font>
    <font>
      <b/>
      <sz val="12"/>
      <name val="Calibri"/>
      <family val="2"/>
      <scheme val="minor"/>
    </font>
    <font>
      <i/>
      <sz val="12"/>
      <color theme="1"/>
      <name val="Calibri"/>
      <family val="2"/>
      <scheme val="minor"/>
    </font>
    <font>
      <u/>
      <sz val="12"/>
      <color theme="10"/>
      <name val="Calibri"/>
      <family val="2"/>
      <scheme val="minor"/>
    </font>
    <font>
      <b/>
      <sz val="14"/>
      <color theme="1"/>
      <name val="Calibri"/>
      <family val="2"/>
      <scheme val="minor"/>
    </font>
    <font>
      <b/>
      <sz val="16"/>
      <color theme="1"/>
      <name val="Calibri"/>
      <family val="2"/>
      <scheme val="minor"/>
    </font>
    <font>
      <b/>
      <sz val="16"/>
      <name val="Calibri"/>
      <family val="2"/>
      <scheme val="minor"/>
    </font>
    <font>
      <sz val="8"/>
      <color theme="1"/>
      <name val="Calibri"/>
      <family val="2"/>
      <scheme val="minor"/>
    </font>
    <font>
      <sz val="12"/>
      <color theme="1"/>
      <name val="Calibri"/>
      <family val="2"/>
      <scheme val="minor"/>
    </font>
  </fonts>
  <fills count="13">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1"/>
        <bgColor indexed="64"/>
      </patternFill>
    </fill>
    <fill>
      <patternFill patternType="solid">
        <fgColor theme="1" tint="4.9989318521683403E-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4B084"/>
        <bgColor indexed="64"/>
      </patternFill>
    </fill>
    <fill>
      <patternFill patternType="solid">
        <fgColor theme="9" tint="0.39997558519241921"/>
        <bgColor indexed="64"/>
      </patternFill>
    </fill>
    <fill>
      <patternFill patternType="solid">
        <fgColor theme="2" tint="-9.9978637043366805E-2"/>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2">
    <xf numFmtId="0" fontId="0" fillId="0" borderId="0"/>
    <xf numFmtId="0" fontId="7" fillId="0" borderId="0" applyNumberFormat="0" applyFill="0" applyBorder="0" applyAlignment="0" applyProtection="0"/>
  </cellStyleXfs>
  <cellXfs count="291">
    <xf numFmtId="0" fontId="0" fillId="0" borderId="0" xfId="0"/>
    <xf numFmtId="20" fontId="0" fillId="0" borderId="0" xfId="0" applyNumberFormat="1"/>
    <xf numFmtId="0" fontId="3" fillId="3" borderId="1" xfId="0" applyFont="1" applyFill="1" applyBorder="1"/>
    <xf numFmtId="0" fontId="0" fillId="0" borderId="0" xfId="0" applyAlignment="1">
      <alignment horizontal="left"/>
    </xf>
    <xf numFmtId="0" fontId="3" fillId="0" borderId="0" xfId="0" applyFont="1" applyAlignment="1">
      <alignment horizontal="center"/>
    </xf>
    <xf numFmtId="0" fontId="0" fillId="0" borderId="0" xfId="0" applyAlignment="1">
      <alignment vertical="top"/>
    </xf>
    <xf numFmtId="0" fontId="3" fillId="0" borderId="0" xfId="0" applyFont="1"/>
    <xf numFmtId="0" fontId="3" fillId="3" borderId="1" xfId="0" applyFont="1" applyFill="1" applyBorder="1" applyAlignment="1">
      <alignment horizontal="center" vertical="center"/>
    </xf>
    <xf numFmtId="0" fontId="0" fillId="2" borderId="1" xfId="0" applyFill="1" applyBorder="1" applyAlignment="1">
      <alignment horizontal="center"/>
    </xf>
    <xf numFmtId="20" fontId="5" fillId="2" borderId="1" xfId="0" applyNumberFormat="1" applyFont="1" applyFill="1" applyBorder="1" applyAlignment="1">
      <alignment horizontal="center" vertical="center"/>
    </xf>
    <xf numFmtId="0" fontId="6" fillId="0" borderId="0" xfId="0" applyFont="1"/>
    <xf numFmtId="0" fontId="3" fillId="5" borderId="1" xfId="0" applyFont="1" applyFill="1" applyBorder="1"/>
    <xf numFmtId="0" fontId="3" fillId="5" borderId="1" xfId="0" applyFont="1" applyFill="1" applyBorder="1" applyAlignment="1">
      <alignment horizontal="center"/>
    </xf>
    <xf numFmtId="0" fontId="3" fillId="3" borderId="25" xfId="0" applyFont="1" applyFill="1" applyBorder="1"/>
    <xf numFmtId="0" fontId="3" fillId="3" borderId="27" xfId="0" applyFont="1" applyFill="1" applyBorder="1"/>
    <xf numFmtId="0" fontId="3" fillId="3" borderId="28" xfId="0" applyFont="1" applyFill="1" applyBorder="1"/>
    <xf numFmtId="170" fontId="3" fillId="2" borderId="20" xfId="0" applyNumberFormat="1" applyFont="1" applyFill="1" applyBorder="1" applyAlignment="1">
      <alignment horizontal="center"/>
    </xf>
    <xf numFmtId="174" fontId="3" fillId="2" borderId="14" xfId="0" applyNumberFormat="1" applyFont="1" applyFill="1" applyBorder="1" applyAlignment="1">
      <alignment horizontal="center"/>
    </xf>
    <xf numFmtId="0" fontId="3" fillId="5" borderId="8" xfId="0" applyFont="1" applyFill="1" applyBorder="1" applyAlignment="1">
      <alignment horizontal="center"/>
    </xf>
    <xf numFmtId="174" fontId="0" fillId="0" borderId="0" xfId="0" applyNumberFormat="1"/>
    <xf numFmtId="174" fontId="3" fillId="2" borderId="13" xfId="0" applyNumberFormat="1" applyFont="1" applyFill="1" applyBorder="1" applyAlignment="1">
      <alignment horizontal="center"/>
    </xf>
    <xf numFmtId="174" fontId="3" fillId="2" borderId="17" xfId="0" applyNumberFormat="1" applyFont="1" applyFill="1" applyBorder="1" applyAlignment="1">
      <alignment horizontal="center"/>
    </xf>
    <xf numFmtId="170" fontId="3" fillId="2" borderId="19" xfId="0" applyNumberFormat="1" applyFont="1" applyFill="1" applyBorder="1" applyAlignment="1">
      <alignment horizontal="center"/>
    </xf>
    <xf numFmtId="170" fontId="3" fillId="2" borderId="21" xfId="0" applyNumberFormat="1" applyFont="1" applyFill="1" applyBorder="1" applyAlignment="1">
      <alignment horizontal="center"/>
    </xf>
    <xf numFmtId="0" fontId="3" fillId="3" borderId="38" xfId="0" applyFont="1" applyFill="1" applyBorder="1" applyAlignment="1">
      <alignment horizontal="center" vertical="center"/>
    </xf>
    <xf numFmtId="0" fontId="3" fillId="3" borderId="31" xfId="0" applyFont="1" applyFill="1" applyBorder="1" applyAlignment="1">
      <alignment horizontal="center" vertical="center"/>
    </xf>
    <xf numFmtId="0" fontId="0" fillId="6" borderId="0" xfId="0" applyFill="1"/>
    <xf numFmtId="0" fontId="0" fillId="7" borderId="4" xfId="0" applyFill="1" applyBorder="1"/>
    <xf numFmtId="164" fontId="3" fillId="6" borderId="23" xfId="0" applyNumberFormat="1" applyFont="1" applyFill="1" applyBorder="1" applyAlignment="1">
      <alignment horizontal="center" vertical="center"/>
    </xf>
    <xf numFmtId="0" fontId="0" fillId="6" borderId="5" xfId="0" applyFill="1" applyBorder="1"/>
    <xf numFmtId="46" fontId="0" fillId="0" borderId="0" xfId="0" applyNumberFormat="1"/>
    <xf numFmtId="14" fontId="0" fillId="0" borderId="0" xfId="0" applyNumberFormat="1"/>
    <xf numFmtId="172" fontId="5" fillId="2" borderId="1" xfId="0" applyNumberFormat="1" applyFont="1" applyFill="1" applyBorder="1" applyAlignment="1">
      <alignment horizontal="center" vertical="center"/>
    </xf>
    <xf numFmtId="173" fontId="5" fillId="2" borderId="1" xfId="0" applyNumberFormat="1" applyFont="1" applyFill="1" applyBorder="1" applyAlignment="1">
      <alignment horizontal="center" vertical="center"/>
    </xf>
    <xf numFmtId="0" fontId="5" fillId="2" borderId="1" xfId="0" applyFont="1" applyFill="1" applyBorder="1"/>
    <xf numFmtId="0" fontId="5" fillId="2" borderId="1" xfId="0" applyFont="1" applyFill="1" applyBorder="1" applyAlignment="1">
      <alignment horizontal="center"/>
    </xf>
    <xf numFmtId="174" fontId="5" fillId="8" borderId="30" xfId="0" applyNumberFormat="1" applyFont="1" applyFill="1" applyBorder="1" applyAlignment="1">
      <alignment horizontal="center" vertical="center"/>
    </xf>
    <xf numFmtId="164" fontId="3" fillId="8" borderId="32" xfId="0" applyNumberFormat="1" applyFont="1" applyFill="1" applyBorder="1" applyAlignment="1">
      <alignment horizontal="center"/>
    </xf>
    <xf numFmtId="164" fontId="3" fillId="8" borderId="9" xfId="0" applyNumberFormat="1" applyFont="1" applyFill="1" applyBorder="1" applyAlignment="1">
      <alignment horizontal="center"/>
    </xf>
    <xf numFmtId="164" fontId="3" fillId="8" borderId="33" xfId="0" applyNumberFormat="1" applyFont="1" applyFill="1" applyBorder="1" applyAlignment="1">
      <alignment horizontal="center"/>
    </xf>
    <xf numFmtId="164" fontId="3" fillId="8" borderId="36" xfId="0" applyNumberFormat="1" applyFont="1" applyFill="1" applyBorder="1" applyAlignment="1">
      <alignment horizontal="center" vertical="center"/>
    </xf>
    <xf numFmtId="0" fontId="0" fillId="10" borderId="1" xfId="0" applyFill="1" applyBorder="1" applyAlignment="1">
      <alignment horizontal="center"/>
    </xf>
    <xf numFmtId="175" fontId="0" fillId="10" borderId="1" xfId="0" applyNumberFormat="1" applyFill="1" applyBorder="1" applyAlignment="1">
      <alignment horizontal="center"/>
    </xf>
    <xf numFmtId="174" fontId="3" fillId="10" borderId="1" xfId="0" applyNumberFormat="1" applyFont="1" applyFill="1" applyBorder="1" applyAlignment="1">
      <alignment horizontal="center"/>
    </xf>
    <xf numFmtId="164" fontId="3" fillId="10" borderId="1" xfId="0" applyNumberFormat="1" applyFont="1" applyFill="1" applyBorder="1" applyAlignment="1">
      <alignment horizontal="center"/>
    </xf>
    <xf numFmtId="170" fontId="3" fillId="10" borderId="12" xfId="0" applyNumberFormat="1" applyFont="1" applyFill="1" applyBorder="1" applyAlignment="1">
      <alignment horizontal="center" vertical="center"/>
    </xf>
    <xf numFmtId="0" fontId="3" fillId="5" borderId="1" xfId="0" applyFont="1" applyFill="1" applyBorder="1" applyAlignment="1">
      <alignment vertical="center"/>
    </xf>
    <xf numFmtId="0" fontId="3" fillId="3" borderId="12" xfId="0" applyFont="1" applyFill="1" applyBorder="1" applyAlignment="1">
      <alignment horizontal="center" vertical="center"/>
    </xf>
    <xf numFmtId="0" fontId="1" fillId="0" borderId="29" xfId="0" applyFont="1" applyBorder="1" applyAlignment="1">
      <alignment horizontal="center" vertical="center"/>
    </xf>
    <xf numFmtId="164" fontId="5" fillId="10" borderId="20" xfId="0" applyNumberFormat="1" applyFont="1" applyFill="1" applyBorder="1" applyAlignment="1">
      <alignment horizontal="center"/>
    </xf>
    <xf numFmtId="0" fontId="3" fillId="3" borderId="34" xfId="0" applyFont="1" applyFill="1" applyBorder="1" applyAlignment="1">
      <alignment horizontal="center" vertical="center" wrapText="1"/>
    </xf>
    <xf numFmtId="164" fontId="0" fillId="0" borderId="0" xfId="0" applyNumberFormat="1"/>
    <xf numFmtId="0" fontId="3" fillId="3" borderId="1" xfId="0" applyFont="1" applyFill="1" applyBorder="1" applyAlignment="1">
      <alignment horizontal="center"/>
    </xf>
    <xf numFmtId="0" fontId="3" fillId="3" borderId="52" xfId="0" applyFont="1" applyFill="1" applyBorder="1" applyAlignment="1">
      <alignment horizontal="center" vertical="center" wrapText="1"/>
    </xf>
    <xf numFmtId="165" fontId="3" fillId="10" borderId="19" xfId="0" applyNumberFormat="1" applyFont="1" applyFill="1" applyBorder="1" applyAlignment="1">
      <alignment horizontal="center"/>
    </xf>
    <xf numFmtId="165" fontId="3" fillId="10" borderId="50" xfId="0" applyNumberFormat="1" applyFont="1" applyFill="1" applyBorder="1" applyAlignment="1">
      <alignment vertical="center"/>
    </xf>
    <xf numFmtId="14" fontId="5" fillId="2" borderId="1" xfId="0" applyNumberFormat="1" applyFont="1" applyFill="1" applyBorder="1" applyAlignment="1">
      <alignment horizontal="center"/>
    </xf>
    <xf numFmtId="0" fontId="0" fillId="2" borderId="1" xfId="0" applyFill="1" applyBorder="1"/>
    <xf numFmtId="2" fontId="0" fillId="0" borderId="0" xfId="0" applyNumberFormat="1"/>
    <xf numFmtId="165" fontId="3" fillId="10" borderId="50" xfId="0" applyNumberFormat="1" applyFont="1" applyFill="1" applyBorder="1" applyAlignment="1">
      <alignment horizontal="center" vertical="center"/>
    </xf>
    <xf numFmtId="0" fontId="3" fillId="3" borderId="12" xfId="0" applyFont="1" applyFill="1" applyBorder="1" applyAlignment="1">
      <alignment horizontal="center"/>
    </xf>
    <xf numFmtId="0" fontId="3" fillId="3" borderId="12" xfId="0" applyFont="1" applyFill="1" applyBorder="1" applyAlignment="1">
      <alignment vertical="center"/>
    </xf>
    <xf numFmtId="0" fontId="3" fillId="3" borderId="19" xfId="0" applyFont="1" applyFill="1" applyBorder="1" applyAlignment="1">
      <alignment vertical="center"/>
    </xf>
    <xf numFmtId="170" fontId="3" fillId="10" borderId="19" xfId="0" applyNumberFormat="1" applyFont="1" applyFill="1" applyBorder="1" applyAlignment="1">
      <alignment horizontal="center"/>
    </xf>
    <xf numFmtId="0" fontId="3" fillId="3" borderId="21" xfId="0" applyFont="1" applyFill="1" applyBorder="1" applyAlignment="1">
      <alignment vertical="center"/>
    </xf>
    <xf numFmtId="170" fontId="3" fillId="10" borderId="21" xfId="0" applyNumberFormat="1" applyFont="1" applyFill="1" applyBorder="1" applyAlignment="1">
      <alignment horizontal="center"/>
    </xf>
    <xf numFmtId="177" fontId="3" fillId="10" borderId="21" xfId="0" applyNumberFormat="1" applyFont="1" applyFill="1" applyBorder="1" applyAlignment="1">
      <alignment horizontal="center"/>
    </xf>
    <xf numFmtId="0" fontId="3" fillId="3" borderId="20" xfId="0" applyFont="1" applyFill="1" applyBorder="1" applyAlignment="1">
      <alignment vertical="center"/>
    </xf>
    <xf numFmtId="177" fontId="3" fillId="10" borderId="20" xfId="0" applyNumberFormat="1" applyFont="1" applyFill="1" applyBorder="1" applyAlignment="1">
      <alignment horizontal="center"/>
    </xf>
    <xf numFmtId="164" fontId="5" fillId="10" borderId="19" xfId="0" applyNumberFormat="1" applyFont="1" applyFill="1" applyBorder="1" applyAlignment="1">
      <alignment horizontal="center" vertical="center"/>
    </xf>
    <xf numFmtId="179" fontId="3" fillId="10" borderId="19" xfId="0" applyNumberFormat="1" applyFont="1" applyFill="1" applyBorder="1" applyAlignment="1">
      <alignment horizontal="center"/>
    </xf>
    <xf numFmtId="180" fontId="3" fillId="10" borderId="19" xfId="0" applyNumberFormat="1" applyFont="1" applyFill="1" applyBorder="1" applyAlignment="1">
      <alignment horizontal="center"/>
    </xf>
    <xf numFmtId="178" fontId="3" fillId="10" borderId="21" xfId="0" applyNumberFormat="1" applyFont="1" applyFill="1" applyBorder="1" applyAlignment="1">
      <alignment horizontal="center"/>
    </xf>
    <xf numFmtId="181" fontId="3" fillId="10" borderId="21" xfId="0" applyNumberFormat="1" applyFont="1" applyFill="1" applyBorder="1" applyAlignment="1">
      <alignment horizontal="center"/>
    </xf>
    <xf numFmtId="171" fontId="3" fillId="10" borderId="21" xfId="0" applyNumberFormat="1" applyFont="1" applyFill="1" applyBorder="1" applyAlignment="1">
      <alignment horizontal="center"/>
    </xf>
    <xf numFmtId="182" fontId="3" fillId="10" borderId="21" xfId="0" applyNumberFormat="1" applyFont="1" applyFill="1" applyBorder="1" applyAlignment="1">
      <alignment horizontal="center"/>
    </xf>
    <xf numFmtId="183" fontId="3" fillId="10" borderId="21" xfId="0" applyNumberFormat="1" applyFont="1" applyFill="1" applyBorder="1" applyAlignment="1">
      <alignment horizontal="center"/>
    </xf>
    <xf numFmtId="182" fontId="3" fillId="10" borderId="20" xfId="0" applyNumberFormat="1" applyFont="1" applyFill="1" applyBorder="1" applyAlignment="1">
      <alignment horizontal="center"/>
    </xf>
    <xf numFmtId="183" fontId="3" fillId="10" borderId="20" xfId="0" applyNumberFormat="1" applyFont="1" applyFill="1" applyBorder="1" applyAlignment="1">
      <alignment horizontal="center"/>
    </xf>
    <xf numFmtId="0" fontId="3" fillId="2" borderId="46" xfId="0" applyFont="1" applyFill="1" applyBorder="1" applyAlignment="1">
      <alignment horizontal="center"/>
    </xf>
    <xf numFmtId="0" fontId="3" fillId="3" borderId="17" xfId="0" applyFont="1" applyFill="1" applyBorder="1" applyAlignment="1">
      <alignment vertical="center"/>
    </xf>
    <xf numFmtId="0" fontId="5" fillId="2" borderId="18" xfId="0" applyFont="1" applyFill="1" applyBorder="1" applyAlignment="1">
      <alignment horizontal="center"/>
    </xf>
    <xf numFmtId="0" fontId="3" fillId="3" borderId="14" xfId="0" applyFont="1" applyFill="1" applyBorder="1" applyAlignment="1">
      <alignment vertical="center"/>
    </xf>
    <xf numFmtId="172" fontId="5" fillId="2" borderId="29" xfId="0" applyNumberFormat="1" applyFont="1" applyFill="1" applyBorder="1" applyAlignment="1">
      <alignment horizontal="center" vertical="center"/>
    </xf>
    <xf numFmtId="173" fontId="5" fillId="2" borderId="29" xfId="0" applyNumberFormat="1" applyFont="1" applyFill="1" applyBorder="1" applyAlignment="1">
      <alignment horizontal="center" vertical="center"/>
    </xf>
    <xf numFmtId="0" fontId="5" fillId="2" borderId="15" xfId="0" applyFont="1" applyFill="1" applyBorder="1" applyAlignment="1">
      <alignment horizontal="center"/>
    </xf>
    <xf numFmtId="0" fontId="3" fillId="2" borderId="26" xfId="0" applyFont="1" applyFill="1" applyBorder="1" applyAlignment="1">
      <alignment horizontal="center"/>
    </xf>
    <xf numFmtId="14" fontId="5" fillId="8" borderId="1" xfId="0" applyNumberFormat="1" applyFont="1" applyFill="1" applyBorder="1" applyAlignment="1">
      <alignment horizontal="center"/>
    </xf>
    <xf numFmtId="0" fontId="3" fillId="3" borderId="8" xfId="0" applyFont="1" applyFill="1" applyBorder="1" applyAlignment="1">
      <alignment horizontal="center"/>
    </xf>
    <xf numFmtId="0" fontId="3" fillId="5" borderId="1" xfId="0" applyFont="1" applyFill="1" applyBorder="1" applyAlignment="1">
      <alignment horizontal="center" vertical="center"/>
    </xf>
    <xf numFmtId="167" fontId="5" fillId="2" borderId="16" xfId="0" applyNumberFormat="1" applyFont="1" applyFill="1" applyBorder="1" applyAlignment="1">
      <alignment horizontal="center"/>
    </xf>
    <xf numFmtId="169" fontId="5" fillId="2" borderId="15" xfId="0" applyNumberFormat="1" applyFont="1" applyFill="1" applyBorder="1" applyAlignment="1">
      <alignment horizontal="center"/>
    </xf>
    <xf numFmtId="168" fontId="5" fillId="2" borderId="16" xfId="0" applyNumberFormat="1" applyFont="1" applyFill="1" applyBorder="1" applyAlignment="1">
      <alignment horizontal="center"/>
    </xf>
    <xf numFmtId="176" fontId="3" fillId="8" borderId="18" xfId="0" applyNumberFormat="1" applyFont="1" applyFill="1" applyBorder="1" applyAlignment="1">
      <alignment horizontal="center"/>
    </xf>
    <xf numFmtId="166" fontId="3" fillId="8" borderId="15" xfId="0" applyNumberFormat="1" applyFont="1" applyFill="1" applyBorder="1" applyAlignment="1">
      <alignment horizontal="center"/>
    </xf>
    <xf numFmtId="0" fontId="3" fillId="3" borderId="13" xfId="0" applyFont="1" applyFill="1" applyBorder="1" applyAlignment="1">
      <alignment vertical="center"/>
    </xf>
    <xf numFmtId="22" fontId="11" fillId="0" borderId="0" xfId="0" applyNumberFormat="1" applyFont="1"/>
    <xf numFmtId="184" fontId="5" fillId="8" borderId="1" xfId="0" applyNumberFormat="1" applyFont="1" applyFill="1" applyBorder="1" applyAlignment="1">
      <alignment horizontal="center" vertical="center"/>
    </xf>
    <xf numFmtId="0" fontId="0" fillId="0" borderId="1" xfId="0" applyBorder="1"/>
    <xf numFmtId="0" fontId="0" fillId="0" borderId="29" xfId="0" applyBorder="1"/>
    <xf numFmtId="0" fontId="3" fillId="0" borderId="17" xfId="0" applyFont="1" applyBorder="1"/>
    <xf numFmtId="0" fontId="3" fillId="0" borderId="17" xfId="0" applyFont="1" applyBorder="1" applyAlignment="1">
      <alignment vertical="top"/>
    </xf>
    <xf numFmtId="0" fontId="3" fillId="0" borderId="14" xfId="0" applyFont="1" applyBorder="1"/>
    <xf numFmtId="0" fontId="3" fillId="12" borderId="13" xfId="0" applyFont="1" applyFill="1" applyBorder="1" applyAlignment="1">
      <alignment horizontal="center" vertical="center"/>
    </xf>
    <xf numFmtId="0" fontId="3" fillId="12" borderId="26" xfId="0" applyFont="1" applyFill="1" applyBorder="1" applyAlignment="1">
      <alignment horizontal="center" vertical="center"/>
    </xf>
    <xf numFmtId="0" fontId="3" fillId="12" borderId="26" xfId="0" applyFont="1" applyFill="1" applyBorder="1" applyAlignment="1">
      <alignment horizontal="center" vertical="center" wrapText="1"/>
    </xf>
    <xf numFmtId="0" fontId="0" fillId="0" borderId="0" xfId="0" applyAlignment="1">
      <alignment horizontal="center" vertical="center"/>
    </xf>
    <xf numFmtId="14" fontId="0" fillId="2" borderId="1" xfId="0" applyNumberFormat="1" applyFill="1" applyBorder="1"/>
    <xf numFmtId="0" fontId="0" fillId="2" borderId="1" xfId="0" applyFill="1" applyBorder="1" applyAlignment="1">
      <alignment vertical="top"/>
    </xf>
    <xf numFmtId="14" fontId="0" fillId="2" borderId="1" xfId="0" applyNumberFormat="1" applyFill="1" applyBorder="1" applyAlignment="1">
      <alignment vertical="top"/>
    </xf>
    <xf numFmtId="0" fontId="0" fillId="2" borderId="29" xfId="0" applyFill="1" applyBorder="1"/>
    <xf numFmtId="14" fontId="0" fillId="2" borderId="29" xfId="0" applyNumberFormat="1" applyFill="1" applyBorder="1"/>
    <xf numFmtId="164" fontId="5" fillId="10" borderId="57" xfId="0" applyNumberFormat="1" applyFont="1" applyFill="1" applyBorder="1" applyAlignment="1">
      <alignment horizontal="center"/>
    </xf>
    <xf numFmtId="164" fontId="5" fillId="10" borderId="53" xfId="0" applyNumberFormat="1" applyFont="1" applyFill="1" applyBorder="1" applyAlignment="1">
      <alignment horizontal="center"/>
    </xf>
    <xf numFmtId="174" fontId="5" fillId="10" borderId="19" xfId="0" applyNumberFormat="1" applyFont="1" applyFill="1" applyBorder="1" applyAlignment="1">
      <alignment horizontal="center" vertical="center"/>
    </xf>
    <xf numFmtId="0" fontId="3" fillId="2" borderId="12" xfId="0" applyFont="1" applyFill="1" applyBorder="1" applyAlignment="1">
      <alignment horizontal="center"/>
    </xf>
    <xf numFmtId="0" fontId="5" fillId="10" borderId="47" xfId="0" applyFont="1" applyFill="1" applyBorder="1" applyAlignment="1">
      <alignment horizontal="center"/>
    </xf>
    <xf numFmtId="0" fontId="5" fillId="10" borderId="48" xfId="0" applyFont="1" applyFill="1" applyBorder="1" applyAlignment="1">
      <alignment horizont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9" borderId="9" xfId="0" applyFont="1" applyFill="1" applyBorder="1"/>
    <xf numFmtId="0" fontId="3" fillId="9" borderId="11" xfId="0" applyFont="1" applyFill="1" applyBorder="1"/>
    <xf numFmtId="0" fontId="9" fillId="11" borderId="46" xfId="0" applyFont="1" applyFill="1" applyBorder="1" applyAlignment="1">
      <alignment horizontal="center"/>
    </xf>
    <xf numFmtId="0" fontId="9" fillId="11" borderId="47" xfId="0" applyFont="1" applyFill="1" applyBorder="1" applyAlignment="1">
      <alignment horizontal="center"/>
    </xf>
    <xf numFmtId="0" fontId="9" fillId="11" borderId="48" xfId="0" applyFont="1" applyFill="1" applyBorder="1" applyAlignment="1">
      <alignment horizontal="center"/>
    </xf>
    <xf numFmtId="0" fontId="9" fillId="11" borderId="3" xfId="0" applyFont="1" applyFill="1" applyBorder="1" applyAlignment="1">
      <alignment horizontal="center" vertical="center"/>
    </xf>
    <xf numFmtId="0" fontId="9" fillId="11" borderId="4" xfId="0" applyFont="1" applyFill="1" applyBorder="1" applyAlignment="1">
      <alignment horizontal="center" vertical="center"/>
    </xf>
    <xf numFmtId="0" fontId="9" fillId="11" borderId="5" xfId="0" applyFont="1" applyFill="1" applyBorder="1" applyAlignment="1">
      <alignment horizontal="center" vertical="center"/>
    </xf>
    <xf numFmtId="0" fontId="3" fillId="3" borderId="46" xfId="0" applyFont="1" applyFill="1" applyBorder="1" applyAlignment="1">
      <alignment horizontal="center" vertical="center"/>
    </xf>
    <xf numFmtId="0" fontId="3" fillId="3" borderId="47" xfId="0" applyFont="1" applyFill="1" applyBorder="1" applyAlignment="1">
      <alignment horizontal="center" vertical="center"/>
    </xf>
    <xf numFmtId="0" fontId="3" fillId="3" borderId="23" xfId="0" applyFont="1" applyFill="1" applyBorder="1" applyAlignment="1">
      <alignment horizontal="center" vertical="center"/>
    </xf>
    <xf numFmtId="0" fontId="3" fillId="3" borderId="24" xfId="0" applyFont="1" applyFill="1" applyBorder="1" applyAlignment="1">
      <alignment horizontal="center" vertical="center"/>
    </xf>
    <xf numFmtId="0" fontId="3" fillId="3" borderId="52" xfId="0" applyFont="1" applyFill="1" applyBorder="1" applyAlignment="1">
      <alignment horizontal="center" vertical="center"/>
    </xf>
    <xf numFmtId="0" fontId="3" fillId="3" borderId="53" xfId="0" applyFont="1" applyFill="1" applyBorder="1" applyAlignment="1">
      <alignment horizontal="center" vertical="center"/>
    </xf>
    <xf numFmtId="0" fontId="3" fillId="3" borderId="52" xfId="0" applyFont="1" applyFill="1" applyBorder="1" applyAlignment="1">
      <alignment horizontal="center" vertical="center" wrapText="1"/>
    </xf>
    <xf numFmtId="0" fontId="3" fillId="3" borderId="53" xfId="0" applyFont="1" applyFill="1" applyBorder="1" applyAlignment="1">
      <alignment horizontal="center" vertical="center" wrapText="1"/>
    </xf>
    <xf numFmtId="0" fontId="3" fillId="3" borderId="12" xfId="0" applyFont="1" applyFill="1" applyBorder="1" applyAlignment="1">
      <alignment horizontal="center"/>
    </xf>
    <xf numFmtId="0" fontId="3" fillId="3" borderId="40" xfId="0" applyFont="1" applyFill="1" applyBorder="1" applyAlignment="1">
      <alignment horizontal="center" vertical="center"/>
    </xf>
    <xf numFmtId="0" fontId="3" fillId="3" borderId="38" xfId="0" applyFont="1" applyFill="1" applyBorder="1" applyAlignment="1">
      <alignment horizontal="center" vertical="center"/>
    </xf>
    <xf numFmtId="0" fontId="0" fillId="10" borderId="54" xfId="0" applyFill="1" applyBorder="1" applyAlignment="1">
      <alignment horizontal="left" wrapText="1"/>
    </xf>
    <xf numFmtId="0" fontId="0" fillId="10" borderId="51" xfId="0" applyFill="1" applyBorder="1" applyAlignment="1">
      <alignment horizontal="left" wrapText="1"/>
    </xf>
    <xf numFmtId="0" fontId="0" fillId="10" borderId="38" xfId="0" applyFill="1" applyBorder="1" applyAlignment="1">
      <alignment horizontal="left" wrapText="1"/>
    </xf>
    <xf numFmtId="0" fontId="0" fillId="10" borderId="43" xfId="0" applyFill="1" applyBorder="1" applyAlignment="1">
      <alignment horizontal="left" wrapText="1"/>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19" xfId="0" applyFont="1" applyFill="1" applyBorder="1" applyAlignment="1">
      <alignment horizontal="left" vertical="center"/>
    </xf>
    <xf numFmtId="0" fontId="9" fillId="5" borderId="3" xfId="0" applyFont="1" applyFill="1" applyBorder="1" applyAlignment="1">
      <alignment horizontal="center"/>
    </xf>
    <xf numFmtId="0" fontId="9" fillId="5" borderId="4" xfId="0" applyFont="1" applyFill="1" applyBorder="1" applyAlignment="1">
      <alignment horizontal="center"/>
    </xf>
    <xf numFmtId="0" fontId="9" fillId="5" borderId="5" xfId="0" applyFont="1" applyFill="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3" borderId="5" xfId="0" applyFont="1" applyFill="1" applyBorder="1" applyAlignment="1">
      <alignment horizontal="center"/>
    </xf>
    <xf numFmtId="0" fontId="3" fillId="3" borderId="21" xfId="0" applyFont="1" applyFill="1" applyBorder="1" applyAlignment="1">
      <alignment horizontal="left" vertical="center"/>
    </xf>
    <xf numFmtId="0" fontId="3" fillId="3" borderId="20" xfId="0" applyFont="1" applyFill="1" applyBorder="1" applyAlignment="1">
      <alignment horizontal="left" vertical="center"/>
    </xf>
    <xf numFmtId="0" fontId="0" fillId="2" borderId="12" xfId="0" applyFill="1" applyBorder="1" applyAlignment="1">
      <alignment horizontal="center" vertical="top" wrapText="1"/>
    </xf>
    <xf numFmtId="0" fontId="5" fillId="3" borderId="3" xfId="1" applyFont="1" applyFill="1" applyBorder="1" applyAlignment="1">
      <alignment horizontal="center" vertical="center"/>
    </xf>
    <xf numFmtId="0" fontId="5" fillId="3" borderId="5" xfId="1" applyFont="1" applyFill="1" applyBorder="1" applyAlignment="1">
      <alignment horizontal="center" vertical="center"/>
    </xf>
    <xf numFmtId="0" fontId="5" fillId="2" borderId="26" xfId="0" applyFont="1" applyFill="1" applyBorder="1" applyAlignment="1">
      <alignment horizontal="center"/>
    </xf>
    <xf numFmtId="0" fontId="5" fillId="2" borderId="16" xfId="0" applyFont="1" applyFill="1" applyBorder="1" applyAlignment="1">
      <alignment horizontal="center"/>
    </xf>
    <xf numFmtId="0" fontId="3" fillId="2" borderId="1" xfId="0" applyFont="1" applyFill="1" applyBorder="1" applyAlignment="1">
      <alignment horizontal="center" vertical="center"/>
    </xf>
    <xf numFmtId="0" fontId="3" fillId="2" borderId="18" xfId="0" applyFont="1" applyFill="1" applyBorder="1" applyAlignment="1">
      <alignment horizontal="center" vertical="center"/>
    </xf>
    <xf numFmtId="0" fontId="3" fillId="10" borderId="1" xfId="0" applyFont="1" applyFill="1" applyBorder="1" applyAlignment="1">
      <alignment horizontal="center" vertical="center"/>
    </xf>
    <xf numFmtId="0" fontId="3" fillId="10" borderId="18" xfId="0" applyFont="1" applyFill="1" applyBorder="1" applyAlignment="1">
      <alignment horizontal="center" vertical="center"/>
    </xf>
    <xf numFmtId="0" fontId="1" fillId="0" borderId="29" xfId="0" applyFont="1" applyBorder="1" applyAlignment="1">
      <alignment horizontal="center" vertical="center"/>
    </xf>
    <xf numFmtId="0" fontId="1" fillId="0" borderId="15" xfId="0" applyFont="1" applyBorder="1" applyAlignment="1">
      <alignment horizontal="center" vertical="center"/>
    </xf>
    <xf numFmtId="0" fontId="4" fillId="0" borderId="32" xfId="0" applyFont="1" applyBorder="1" applyAlignment="1">
      <alignment horizontal="center" vertical="center"/>
    </xf>
    <xf numFmtId="0" fontId="4" fillId="0" borderId="49" xfId="0" applyFont="1" applyBorder="1" applyAlignment="1">
      <alignment horizontal="center" vertical="center"/>
    </xf>
    <xf numFmtId="0" fontId="4" fillId="0" borderId="50" xfId="0" applyFont="1" applyBorder="1" applyAlignment="1">
      <alignment horizontal="center" vertical="center"/>
    </xf>
    <xf numFmtId="0" fontId="10" fillId="11" borderId="3" xfId="0" applyFont="1" applyFill="1" applyBorder="1" applyAlignment="1">
      <alignment horizontal="center"/>
    </xf>
    <xf numFmtId="0" fontId="10" fillId="11" borderId="4" xfId="0" applyFont="1" applyFill="1" applyBorder="1" applyAlignment="1">
      <alignment horizontal="center"/>
    </xf>
    <xf numFmtId="0" fontId="10" fillId="11" borderId="5" xfId="0" applyFont="1" applyFill="1" applyBorder="1" applyAlignment="1">
      <alignment horizontal="center"/>
    </xf>
    <xf numFmtId="0" fontId="9" fillId="4" borderId="3" xfId="0" applyFont="1" applyFill="1" applyBorder="1" applyAlignment="1">
      <alignment horizontal="center"/>
    </xf>
    <xf numFmtId="0" fontId="9" fillId="4" borderId="5" xfId="0" applyFont="1" applyFill="1" applyBorder="1" applyAlignment="1">
      <alignment horizontal="center"/>
    </xf>
    <xf numFmtId="0" fontId="3" fillId="11" borderId="1" xfId="0" applyFont="1" applyFill="1" applyBorder="1" applyAlignment="1">
      <alignment vertical="center"/>
    </xf>
    <xf numFmtId="0" fontId="3" fillId="3" borderId="1" xfId="0" applyFont="1" applyFill="1" applyBorder="1" applyAlignment="1">
      <alignment vertical="center"/>
    </xf>
    <xf numFmtId="164" fontId="3" fillId="8" borderId="6" xfId="0" applyNumberFormat="1" applyFont="1" applyFill="1" applyBorder="1" applyAlignment="1">
      <alignment wrapText="1"/>
    </xf>
    <xf numFmtId="164" fontId="3" fillId="8" borderId="7" xfId="0" applyNumberFormat="1" applyFont="1" applyFill="1" applyBorder="1" applyAlignment="1">
      <alignment wrapText="1"/>
    </xf>
    <xf numFmtId="0" fontId="3" fillId="2" borderId="9" xfId="0" applyFont="1" applyFill="1" applyBorder="1" applyAlignment="1">
      <alignment vertical="center"/>
    </xf>
    <xf numFmtId="0" fontId="3" fillId="2" borderId="11" xfId="0" applyFont="1" applyFill="1" applyBorder="1" applyAlignment="1">
      <alignment vertical="center"/>
    </xf>
    <xf numFmtId="0" fontId="4" fillId="0" borderId="13" xfId="0" applyFont="1" applyBorder="1" applyAlignment="1">
      <alignment horizontal="center" vertical="center"/>
    </xf>
    <xf numFmtId="0" fontId="4" fillId="0" borderId="26" xfId="0" applyFont="1" applyBorder="1" applyAlignment="1">
      <alignment horizontal="center" vertical="center"/>
    </xf>
    <xf numFmtId="0" fontId="4" fillId="0" borderId="14" xfId="0" applyFont="1" applyBorder="1" applyAlignment="1">
      <alignment horizontal="center" vertical="center"/>
    </xf>
    <xf numFmtId="0" fontId="4" fillId="0" borderId="29" xfId="0" applyFont="1" applyBorder="1" applyAlignment="1">
      <alignment horizontal="center" vertical="center"/>
    </xf>
    <xf numFmtId="0" fontId="8" fillId="5" borderId="3" xfId="0" applyFont="1" applyFill="1" applyBorder="1" applyAlignment="1">
      <alignment horizontal="center"/>
    </xf>
    <xf numFmtId="0" fontId="8" fillId="5" borderId="4" xfId="0" applyFont="1" applyFill="1" applyBorder="1" applyAlignment="1">
      <alignment horizontal="center"/>
    </xf>
    <xf numFmtId="0" fontId="8" fillId="5" borderId="5" xfId="0" applyFont="1" applyFill="1" applyBorder="1" applyAlignment="1">
      <alignment horizontal="center"/>
    </xf>
    <xf numFmtId="0" fontId="3" fillId="5" borderId="1" xfId="0" applyFont="1" applyFill="1" applyBorder="1" applyAlignment="1">
      <alignment horizontal="center"/>
    </xf>
    <xf numFmtId="0" fontId="0" fillId="2" borderId="1" xfId="0" applyFill="1" applyBorder="1" applyAlignment="1">
      <alignment horizontal="center"/>
    </xf>
    <xf numFmtId="2" fontId="3" fillId="10" borderId="9" xfId="0" applyNumberFormat="1" applyFont="1" applyFill="1" applyBorder="1" applyAlignment="1">
      <alignment horizontal="center"/>
    </xf>
    <xf numFmtId="2" fontId="3" fillId="10" borderId="11" xfId="0" applyNumberFormat="1" applyFont="1" applyFill="1" applyBorder="1" applyAlignment="1">
      <alignment horizontal="center"/>
    </xf>
    <xf numFmtId="0" fontId="3" fillId="2" borderId="9" xfId="0" applyFont="1" applyFill="1" applyBorder="1" applyAlignment="1">
      <alignment horizontal="center"/>
    </xf>
    <xf numFmtId="0" fontId="3" fillId="2" borderId="11" xfId="0" applyFont="1" applyFill="1" applyBorder="1" applyAlignment="1">
      <alignment horizontal="center"/>
    </xf>
    <xf numFmtId="0" fontId="3" fillId="5" borderId="1" xfId="0" applyFont="1" applyFill="1" applyBorder="1" applyAlignment="1">
      <alignment horizontal="left"/>
    </xf>
    <xf numFmtId="164" fontId="5" fillId="10" borderId="1" xfId="0" applyNumberFormat="1" applyFont="1" applyFill="1" applyBorder="1" applyAlignment="1">
      <alignment horizontal="center" vertical="center"/>
    </xf>
    <xf numFmtId="0" fontId="3" fillId="5" borderId="9" xfId="0" applyFont="1" applyFill="1" applyBorder="1" applyAlignment="1">
      <alignment horizontal="center"/>
    </xf>
    <xf numFmtId="0" fontId="3" fillId="5" borderId="10" xfId="0" applyFont="1" applyFill="1" applyBorder="1" applyAlignment="1">
      <alignment horizontal="center"/>
    </xf>
    <xf numFmtId="0" fontId="3" fillId="5" borderId="11" xfId="0" applyFont="1" applyFill="1" applyBorder="1" applyAlignment="1">
      <alignment horizontal="center"/>
    </xf>
    <xf numFmtId="0" fontId="3" fillId="3" borderId="9" xfId="0" applyFont="1" applyFill="1" applyBorder="1" applyAlignment="1">
      <alignment horizontal="center"/>
    </xf>
    <xf numFmtId="0" fontId="3" fillId="3" borderId="10" xfId="0" applyFont="1" applyFill="1" applyBorder="1" applyAlignment="1">
      <alignment horizontal="center"/>
    </xf>
    <xf numFmtId="0" fontId="3" fillId="3" borderId="11" xfId="0" applyFont="1" applyFill="1" applyBorder="1" applyAlignment="1">
      <alignment horizontal="center"/>
    </xf>
    <xf numFmtId="174" fontId="3" fillId="3" borderId="9" xfId="0" applyNumberFormat="1" applyFont="1" applyFill="1" applyBorder="1" applyAlignment="1">
      <alignment horizontal="center"/>
    </xf>
    <xf numFmtId="174" fontId="3" fillId="3" borderId="10" xfId="0" applyNumberFormat="1" applyFont="1" applyFill="1" applyBorder="1" applyAlignment="1">
      <alignment horizontal="center"/>
    </xf>
    <xf numFmtId="174" fontId="3" fillId="3" borderId="11" xfId="0" applyNumberFormat="1" applyFont="1" applyFill="1" applyBorder="1" applyAlignment="1">
      <alignment horizontal="center"/>
    </xf>
    <xf numFmtId="164" fontId="3" fillId="10" borderId="2" xfId="0" applyNumberFormat="1" applyFont="1" applyFill="1" applyBorder="1" applyAlignment="1">
      <alignment horizontal="center" vertical="center"/>
    </xf>
    <xf numFmtId="164" fontId="3" fillId="10" borderId="22" xfId="0" applyNumberFormat="1" applyFont="1" applyFill="1" applyBorder="1" applyAlignment="1">
      <alignment horizontal="center" vertical="center"/>
    </xf>
    <xf numFmtId="164" fontId="3" fillId="10" borderId="8" xfId="0" applyNumberFormat="1" applyFont="1" applyFill="1" applyBorder="1" applyAlignment="1">
      <alignment horizontal="center" vertical="center"/>
    </xf>
    <xf numFmtId="0" fontId="3" fillId="4" borderId="9" xfId="0" applyFont="1" applyFill="1" applyBorder="1" applyAlignment="1">
      <alignment horizontal="center"/>
    </xf>
    <xf numFmtId="0" fontId="3" fillId="4" borderId="10" xfId="0" applyFont="1" applyFill="1" applyBorder="1" applyAlignment="1">
      <alignment horizontal="center"/>
    </xf>
    <xf numFmtId="0" fontId="3" fillId="4" borderId="11" xfId="0" applyFont="1" applyFill="1" applyBorder="1" applyAlignment="1">
      <alignment horizontal="center"/>
    </xf>
    <xf numFmtId="164" fontId="3" fillId="8" borderId="26" xfId="0" applyNumberFormat="1" applyFont="1" applyFill="1" applyBorder="1" applyAlignment="1">
      <alignment horizontal="center"/>
    </xf>
    <xf numFmtId="164" fontId="3" fillId="8" borderId="32" xfId="0" applyNumberFormat="1" applyFont="1" applyFill="1" applyBorder="1" applyAlignment="1">
      <alignment horizontal="center"/>
    </xf>
    <xf numFmtId="164" fontId="3" fillId="8" borderId="1" xfId="0" applyNumberFormat="1" applyFont="1" applyFill="1" applyBorder="1" applyAlignment="1">
      <alignment horizontal="center"/>
    </xf>
    <xf numFmtId="164" fontId="3" fillId="8" borderId="9" xfId="0" applyNumberFormat="1" applyFont="1" applyFill="1" applyBorder="1" applyAlignment="1">
      <alignment horizontal="center"/>
    </xf>
    <xf numFmtId="174" fontId="3" fillId="2" borderId="13" xfId="0" applyNumberFormat="1" applyFont="1" applyFill="1" applyBorder="1" applyAlignment="1">
      <alignment horizontal="center"/>
    </xf>
    <xf numFmtId="174" fontId="3" fillId="2" borderId="26" xfId="0" applyNumberFormat="1" applyFont="1" applyFill="1" applyBorder="1" applyAlignment="1">
      <alignment horizontal="center"/>
    </xf>
    <xf numFmtId="174" fontId="3" fillId="2" borderId="17" xfId="0" applyNumberFormat="1" applyFont="1" applyFill="1" applyBorder="1" applyAlignment="1">
      <alignment horizontal="center"/>
    </xf>
    <xf numFmtId="174" fontId="3" fillId="2" borderId="1" xfId="0" applyNumberFormat="1" applyFont="1" applyFill="1" applyBorder="1" applyAlignment="1">
      <alignment horizontal="center"/>
    </xf>
    <xf numFmtId="174" fontId="3" fillId="2" borderId="14" xfId="0" applyNumberFormat="1" applyFont="1" applyFill="1" applyBorder="1" applyAlignment="1">
      <alignment horizontal="center"/>
    </xf>
    <xf numFmtId="174" fontId="3" fillId="2" borderId="29" xfId="0" applyNumberFormat="1" applyFont="1" applyFill="1" applyBorder="1" applyAlignment="1">
      <alignment horizontal="center"/>
    </xf>
    <xf numFmtId="0" fontId="3" fillId="3" borderId="14" xfId="0" applyFont="1" applyFill="1" applyBorder="1" applyAlignment="1">
      <alignment horizontal="left" vertical="center"/>
    </xf>
    <xf numFmtId="0" fontId="3" fillId="3" borderId="29" xfId="0" applyFont="1" applyFill="1" applyBorder="1" applyAlignment="1">
      <alignment horizontal="left" vertical="center"/>
    </xf>
    <xf numFmtId="0" fontId="3" fillId="3" borderId="42" xfId="0" applyFont="1" applyFill="1" applyBorder="1" applyAlignment="1">
      <alignment horizontal="center" vertical="center"/>
    </xf>
    <xf numFmtId="0" fontId="3" fillId="3" borderId="39" xfId="0" applyFont="1" applyFill="1" applyBorder="1" applyAlignment="1">
      <alignment horizontal="center" vertical="center"/>
    </xf>
    <xf numFmtId="0" fontId="3" fillId="3" borderId="45" xfId="0" applyFont="1" applyFill="1" applyBorder="1" applyAlignment="1">
      <alignment horizontal="center" vertical="center"/>
    </xf>
    <xf numFmtId="0" fontId="3" fillId="4" borderId="1" xfId="0" applyFont="1" applyFill="1" applyBorder="1" applyAlignment="1">
      <alignment horizontal="center"/>
    </xf>
    <xf numFmtId="164" fontId="3" fillId="10" borderId="1" xfId="0" applyNumberFormat="1" applyFont="1" applyFill="1" applyBorder="1" applyAlignment="1">
      <alignment horizontal="center" vertical="center"/>
    </xf>
    <xf numFmtId="174" fontId="5" fillId="10" borderId="35" xfId="0" applyNumberFormat="1" applyFont="1" applyFill="1" applyBorder="1" applyAlignment="1">
      <alignment horizontal="center" vertical="center"/>
    </xf>
    <xf numFmtId="174" fontId="5" fillId="10" borderId="37" xfId="0" applyNumberFormat="1" applyFont="1" applyFill="1" applyBorder="1" applyAlignment="1">
      <alignment horizontal="center" vertical="center"/>
    </xf>
    <xf numFmtId="174" fontId="3" fillId="8" borderId="17" xfId="0" applyNumberFormat="1" applyFont="1" applyFill="1" applyBorder="1" applyAlignment="1">
      <alignment horizontal="center"/>
    </xf>
    <xf numFmtId="174" fontId="3" fillId="8" borderId="1" xfId="0" applyNumberFormat="1" applyFont="1" applyFill="1" applyBorder="1" applyAlignment="1">
      <alignment horizontal="center"/>
    </xf>
    <xf numFmtId="174" fontId="3" fillId="8" borderId="14" xfId="0" applyNumberFormat="1" applyFont="1" applyFill="1" applyBorder="1" applyAlignment="1">
      <alignment horizontal="center"/>
    </xf>
    <xf numFmtId="174" fontId="3" fillId="8" borderId="29" xfId="0" applyNumberFormat="1" applyFont="1" applyFill="1" applyBorder="1" applyAlignment="1">
      <alignment horizontal="center"/>
    </xf>
    <xf numFmtId="164" fontId="3" fillId="8" borderId="36" xfId="0" applyNumberFormat="1" applyFont="1" applyFill="1" applyBorder="1" applyAlignment="1">
      <alignment horizontal="center" vertical="center"/>
    </xf>
    <xf numFmtId="164" fontId="3" fillId="8" borderId="43" xfId="0" applyNumberFormat="1" applyFont="1" applyFill="1" applyBorder="1" applyAlignment="1">
      <alignment horizontal="center" vertical="center"/>
    </xf>
    <xf numFmtId="164" fontId="3" fillId="8" borderId="1" xfId="0" applyNumberFormat="1" applyFont="1" applyFill="1" applyBorder="1" applyAlignment="1">
      <alignment horizontal="center" vertical="center"/>
    </xf>
    <xf numFmtId="164" fontId="3" fillId="8" borderId="18" xfId="0" applyNumberFormat="1" applyFont="1" applyFill="1" applyBorder="1" applyAlignment="1">
      <alignment horizontal="center" vertical="center"/>
    </xf>
    <xf numFmtId="164" fontId="3" fillId="8" borderId="29" xfId="0" applyNumberFormat="1" applyFont="1" applyFill="1" applyBorder="1" applyAlignment="1">
      <alignment horizontal="center" vertical="center"/>
    </xf>
    <xf numFmtId="164" fontId="3" fillId="8" borderId="15" xfId="0" applyNumberFormat="1" applyFont="1" applyFill="1" applyBorder="1" applyAlignment="1">
      <alignment horizontal="center" vertical="center"/>
    </xf>
    <xf numFmtId="174" fontId="5" fillId="8" borderId="35" xfId="0" applyNumberFormat="1" applyFont="1" applyFill="1" applyBorder="1" applyAlignment="1">
      <alignment horizontal="center" vertical="center"/>
    </xf>
    <xf numFmtId="174" fontId="5" fillId="8" borderId="30" xfId="0" applyNumberFormat="1" applyFont="1" applyFill="1" applyBorder="1" applyAlignment="1">
      <alignment horizontal="center" vertical="center"/>
    </xf>
    <xf numFmtId="0" fontId="3" fillId="3" borderId="41" xfId="0" applyFont="1" applyFill="1" applyBorder="1" applyAlignment="1">
      <alignment horizontal="center" vertical="center"/>
    </xf>
    <xf numFmtId="0" fontId="3" fillId="3" borderId="48" xfId="0" applyFont="1" applyFill="1" applyBorder="1" applyAlignment="1">
      <alignment horizontal="center" vertical="center"/>
    </xf>
    <xf numFmtId="174" fontId="3" fillId="10" borderId="3" xfId="0" applyNumberFormat="1" applyFont="1" applyFill="1" applyBorder="1" applyAlignment="1">
      <alignment horizontal="center" vertical="center"/>
    </xf>
    <xf numFmtId="174" fontId="3" fillId="10" borderId="5" xfId="0" applyNumberFormat="1" applyFont="1" applyFill="1" applyBorder="1" applyAlignment="1">
      <alignment horizontal="center" vertical="center"/>
    </xf>
    <xf numFmtId="174" fontId="5" fillId="8" borderId="38" xfId="0" applyNumberFormat="1" applyFont="1" applyFill="1" applyBorder="1" applyAlignment="1">
      <alignment horizontal="center" vertical="center"/>
    </xf>
    <xf numFmtId="174" fontId="5" fillId="8" borderId="44" xfId="0" applyNumberFormat="1" applyFont="1" applyFill="1" applyBorder="1" applyAlignment="1">
      <alignment horizontal="center" vertical="center"/>
    </xf>
    <xf numFmtId="174" fontId="3" fillId="8" borderId="13" xfId="0" applyNumberFormat="1" applyFont="1" applyFill="1" applyBorder="1" applyAlignment="1">
      <alignment horizontal="center"/>
    </xf>
    <xf numFmtId="174" fontId="3" fillId="8" borderId="26" xfId="0" applyNumberFormat="1" applyFont="1" applyFill="1" applyBorder="1" applyAlignment="1">
      <alignment horizontal="center"/>
    </xf>
    <xf numFmtId="164" fontId="3" fillId="8" borderId="29" xfId="0" applyNumberFormat="1" applyFont="1" applyFill="1" applyBorder="1" applyAlignment="1">
      <alignment horizontal="center"/>
    </xf>
    <xf numFmtId="164" fontId="3" fillId="8" borderId="33" xfId="0" applyNumberFormat="1" applyFont="1" applyFill="1" applyBorder="1" applyAlignment="1">
      <alignment horizontal="center"/>
    </xf>
    <xf numFmtId="164" fontId="3" fillId="8" borderId="26" xfId="0" applyNumberFormat="1" applyFont="1" applyFill="1" applyBorder="1" applyAlignment="1">
      <alignment horizontal="center" vertical="center"/>
    </xf>
    <xf numFmtId="164" fontId="3" fillId="8" borderId="16" xfId="0" applyNumberFormat="1" applyFont="1" applyFill="1" applyBorder="1" applyAlignment="1">
      <alignment horizontal="center" vertical="center"/>
    </xf>
    <xf numFmtId="0" fontId="0" fillId="2" borderId="18" xfId="0" applyFill="1" applyBorder="1" applyAlignment="1">
      <alignment horizontal="center"/>
    </xf>
    <xf numFmtId="0" fontId="0" fillId="2" borderId="29" xfId="0" applyFill="1" applyBorder="1" applyAlignment="1">
      <alignment horizontal="center"/>
    </xf>
    <xf numFmtId="0" fontId="0" fillId="2" borderId="15" xfId="0" applyFill="1" applyBorder="1" applyAlignment="1">
      <alignment horizontal="center"/>
    </xf>
    <xf numFmtId="0" fontId="3" fillId="0" borderId="46" xfId="0" applyFont="1" applyBorder="1" applyAlignment="1">
      <alignment horizontal="center" vertical="center"/>
    </xf>
    <xf numFmtId="0" fontId="3" fillId="0" borderId="47" xfId="0" applyFont="1" applyBorder="1" applyAlignment="1">
      <alignment horizontal="center" vertical="center"/>
    </xf>
    <xf numFmtId="0" fontId="3" fillId="0" borderId="48" xfId="0" applyFont="1" applyBorder="1" applyAlignment="1">
      <alignment horizontal="center" vertical="center"/>
    </xf>
    <xf numFmtId="174" fontId="3" fillId="10" borderId="2" xfId="0" applyNumberFormat="1" applyFont="1" applyFill="1" applyBorder="1" applyAlignment="1">
      <alignment horizontal="center" vertical="center"/>
    </xf>
    <xf numFmtId="174" fontId="3" fillId="10" borderId="22" xfId="0" applyNumberFormat="1" applyFont="1" applyFill="1" applyBorder="1" applyAlignment="1">
      <alignment horizontal="center" vertical="center"/>
    </xf>
    <xf numFmtId="174" fontId="3" fillId="10" borderId="8" xfId="0" applyNumberFormat="1" applyFont="1" applyFill="1" applyBorder="1" applyAlignment="1">
      <alignment horizontal="center" vertical="center"/>
    </xf>
    <xf numFmtId="0" fontId="0" fillId="0" borderId="40" xfId="0" applyBorder="1" applyAlignment="1">
      <alignment horizontal="center"/>
    </xf>
    <xf numFmtId="0" fontId="0" fillId="0" borderId="41" xfId="0" applyBorder="1" applyAlignment="1">
      <alignment horizontal="center"/>
    </xf>
    <xf numFmtId="0" fontId="0" fillId="0" borderId="34" xfId="0" applyBorder="1" applyAlignment="1">
      <alignment horizontal="center"/>
    </xf>
    <xf numFmtId="0" fontId="0" fillId="0" borderId="54" xfId="0" applyBorder="1" applyAlignment="1">
      <alignment horizontal="center"/>
    </xf>
    <xf numFmtId="0" fontId="0" fillId="0" borderId="0" xfId="0" applyAlignment="1">
      <alignment horizontal="center"/>
    </xf>
    <xf numFmtId="0" fontId="0" fillId="0" borderId="51" xfId="0" applyBorder="1" applyAlignment="1">
      <alignment horizontal="center"/>
    </xf>
    <xf numFmtId="0" fontId="0" fillId="0" borderId="38" xfId="0" applyBorder="1" applyAlignment="1">
      <alignment horizontal="center"/>
    </xf>
    <xf numFmtId="0" fontId="0" fillId="0" borderId="31" xfId="0" applyBorder="1" applyAlignment="1">
      <alignment horizontal="center"/>
    </xf>
    <xf numFmtId="0" fontId="0" fillId="0" borderId="43" xfId="0" applyBorder="1" applyAlignment="1">
      <alignment horizontal="center"/>
    </xf>
    <xf numFmtId="0" fontId="3" fillId="3" borderId="13" xfId="0" applyFont="1" applyFill="1" applyBorder="1" applyAlignment="1">
      <alignment horizontal="left" vertical="center"/>
    </xf>
    <xf numFmtId="0" fontId="3" fillId="3" borderId="26" xfId="0" applyFont="1" applyFill="1" applyBorder="1" applyAlignment="1">
      <alignment horizontal="left" vertical="center"/>
    </xf>
    <xf numFmtId="0" fontId="3" fillId="3" borderId="17" xfId="0" applyFont="1" applyFill="1" applyBorder="1" applyAlignment="1">
      <alignment horizontal="left" vertical="center"/>
    </xf>
    <xf numFmtId="0" fontId="3" fillId="3" borderId="1" xfId="0" applyFont="1" applyFill="1" applyBorder="1" applyAlignment="1">
      <alignment horizontal="left" vertical="center"/>
    </xf>
    <xf numFmtId="0" fontId="3" fillId="12" borderId="1" xfId="0" applyFont="1" applyFill="1" applyBorder="1" applyAlignment="1">
      <alignment horizontal="left"/>
    </xf>
    <xf numFmtId="0" fontId="9" fillId="12" borderId="3" xfId="0" applyFont="1" applyFill="1" applyBorder="1" applyAlignment="1">
      <alignment horizontal="center" vertical="center"/>
    </xf>
    <xf numFmtId="0" fontId="9" fillId="12" borderId="4" xfId="0" applyFont="1" applyFill="1" applyBorder="1" applyAlignment="1">
      <alignment horizontal="center" vertical="center"/>
    </xf>
    <xf numFmtId="0" fontId="9" fillId="12" borderId="5" xfId="0" applyFont="1" applyFill="1" applyBorder="1" applyAlignment="1">
      <alignment horizontal="center" vertical="center"/>
    </xf>
    <xf numFmtId="0" fontId="12" fillId="0" borderId="55" xfId="0" applyFont="1" applyBorder="1" applyAlignment="1">
      <alignment horizontal="left" vertical="center" wrapText="1"/>
    </xf>
    <xf numFmtId="0" fontId="12" fillId="0" borderId="22" xfId="0" applyFont="1" applyBorder="1" applyAlignment="1">
      <alignment horizontal="left" vertical="center" wrapText="1"/>
    </xf>
    <xf numFmtId="0" fontId="12" fillId="0" borderId="56" xfId="0" applyFont="1" applyBorder="1" applyAlignment="1">
      <alignment horizontal="left" vertical="center" wrapText="1"/>
    </xf>
    <xf numFmtId="0" fontId="12" fillId="0" borderId="35" xfId="0" applyFont="1" applyBorder="1" applyAlignment="1">
      <alignment horizontal="left" vertical="center" wrapText="1"/>
    </xf>
    <xf numFmtId="0" fontId="12" fillId="0" borderId="30" xfId="0" applyFont="1" applyBorder="1" applyAlignment="1">
      <alignment horizontal="left" vertical="center" wrapText="1"/>
    </xf>
    <xf numFmtId="0" fontId="12" fillId="0" borderId="37" xfId="0" applyFont="1" applyBorder="1" applyAlignment="1">
      <alignment horizontal="left" vertical="center" wrapText="1"/>
    </xf>
    <xf numFmtId="0" fontId="3" fillId="12" borderId="26" xfId="0" applyFont="1" applyFill="1" applyBorder="1" applyAlignment="1">
      <alignment horizontal="center" vertical="center"/>
    </xf>
    <xf numFmtId="0" fontId="3" fillId="12" borderId="16" xfId="0" applyFont="1" applyFill="1" applyBorder="1" applyAlignment="1">
      <alignment horizontal="center" vertical="center"/>
    </xf>
    <xf numFmtId="0" fontId="3" fillId="0" borderId="58" xfId="0" applyFont="1" applyBorder="1"/>
    <xf numFmtId="0" fontId="0" fillId="0" borderId="2" xfId="0" applyBorder="1"/>
    <xf numFmtId="0" fontId="0" fillId="2" borderId="2" xfId="0" applyFill="1" applyBorder="1"/>
    <xf numFmtId="14" fontId="0" fillId="2" borderId="2" xfId="0" applyNumberFormat="1" applyFill="1" applyBorder="1"/>
  </cellXfs>
  <cellStyles count="2">
    <cellStyle name="Lien hypertexte" xfId="1" builtinId="8"/>
    <cellStyle name="Normal" xfId="0" builtinId="0"/>
  </cellStyles>
  <dxfs count="3">
    <dxf>
      <fill>
        <patternFill>
          <bgColor theme="9" tint="0.79998168889431442"/>
        </patternFill>
      </fill>
    </dxf>
    <dxf>
      <fill>
        <patternFill>
          <fgColor theme="1"/>
          <bgColor theme="9" tint="0.79995117038483843"/>
        </patternFill>
      </fill>
    </dxf>
    <dxf>
      <fill>
        <patternFill>
          <bgColor theme="9" tint="0.79998168889431442"/>
        </patternFill>
      </fill>
    </dxf>
  </dxfs>
  <tableStyles count="0" defaultTableStyle="TableStyleMedium2" defaultPivotStyle="PivotStyleLight16"/>
  <colors>
    <mruColors>
      <color rgb="FFF4B084"/>
      <color rgb="FFFFF8E5"/>
      <color rgb="FFE166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476250</xdr:colOff>
      <xdr:row>0</xdr:row>
      <xdr:rowOff>86593</xdr:rowOff>
    </xdr:from>
    <xdr:to>
      <xdr:col>16</xdr:col>
      <xdr:colOff>207226</xdr:colOff>
      <xdr:row>0</xdr:row>
      <xdr:rowOff>833702</xdr:rowOff>
    </xdr:to>
    <xdr:pic>
      <xdr:nvPicPr>
        <xdr:cNvPr id="3" name="Image 2" descr="Notre mission - TOWT - Transport à la voile">
          <a:extLst>
            <a:ext uri="{FF2B5EF4-FFF2-40B4-BE49-F238E27FC236}">
              <a16:creationId xmlns:a16="http://schemas.microsoft.com/office/drawing/2014/main" id="{C95286CE-A4EF-9755-8FA0-522428025C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29068" y="86593"/>
          <a:ext cx="1757203" cy="736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16600E-5D06-4B94-A647-6A4E5BF8796B}" name="Tableau1" displayName="Tableau1" ref="B1:C9" totalsRowShown="0">
  <autoFilter ref="B1:C9" xr:uid="{0816600E-5D06-4B94-A647-6A4E5BF8796B}"/>
  <tableColumns count="2">
    <tableColumn id="1" xr3:uid="{97BF6D5E-697E-4F0C-9FE7-A3D94CDAE17C}" name="Vessel"/>
    <tableColumn id="2" xr3:uid="{69D42D4C-E8A8-4A81-919C-4051A7928BA8}" name="IMO"/>
  </tableColumns>
  <tableStyleInfo name="TableStyleMedium2"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cdn.imo.org/localresources/en/KnowledgeCentre/IndexofIMOResolutions/MEPCDocuments/MEPC.391(81).pdf"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472AF-932D-43FC-86CE-73D1AD0FC16A}">
  <sheetPr>
    <pageSetUpPr fitToPage="1"/>
  </sheetPr>
  <dimension ref="A1:R168"/>
  <sheetViews>
    <sheetView showGridLines="0" tabSelected="1" topLeftCell="A106" zoomScale="55" zoomScaleNormal="55" zoomScaleSheetLayoutView="74" workbookViewId="0">
      <selection activeCell="F145" sqref="F145"/>
    </sheetView>
  </sheetViews>
  <sheetFormatPr baseColWidth="10" defaultColWidth="11" defaultRowHeight="15.75" x14ac:dyDescent="0.5"/>
  <cols>
    <col min="1" max="1" width="32.375" customWidth="1"/>
    <col min="2" max="2" width="17" customWidth="1"/>
    <col min="3" max="3" width="15.375" bestFit="1" customWidth="1"/>
    <col min="4" max="4" width="14.4375" customWidth="1"/>
    <col min="5" max="5" width="9.875" customWidth="1"/>
    <col min="6" max="6" width="31.6875" customWidth="1"/>
    <col min="7" max="7" width="17.125" bestFit="1" customWidth="1"/>
    <col min="8" max="8" width="12.125" bestFit="1" customWidth="1"/>
    <col min="9" max="9" width="10.875" customWidth="1"/>
    <col min="10" max="10" width="21.6875" customWidth="1"/>
    <col min="11" max="11" width="16.6875" customWidth="1"/>
    <col min="12" max="12" width="13.125" bestFit="1" customWidth="1"/>
    <col min="13" max="13" width="17.1875" customWidth="1"/>
    <col min="14" max="14" width="17" customWidth="1"/>
    <col min="15" max="15" width="14.6875" customWidth="1"/>
    <col min="16" max="17" width="11.9375" customWidth="1"/>
    <col min="18" max="18" width="32.875" customWidth="1"/>
  </cols>
  <sheetData>
    <row r="1" spans="1:17" ht="73.900000000000006" customHeight="1" x14ac:dyDescent="0.5">
      <c r="A1" s="180" t="s">
        <v>104</v>
      </c>
      <c r="B1" s="181"/>
      <c r="C1" s="181"/>
      <c r="D1" s="181"/>
      <c r="E1" s="181"/>
      <c r="F1" s="181"/>
      <c r="G1" s="181"/>
      <c r="H1" s="181"/>
      <c r="I1" s="181"/>
      <c r="J1" s="181"/>
      <c r="K1" s="181"/>
      <c r="L1" s="181"/>
      <c r="M1" s="181"/>
      <c r="N1" s="181"/>
      <c r="O1" s="166"/>
      <c r="P1" s="167"/>
      <c r="Q1" s="168"/>
    </row>
    <row r="2" spans="1:17" ht="16.149999999999999" thickBot="1" x14ac:dyDescent="0.55000000000000004">
      <c r="A2" s="182"/>
      <c r="B2" s="183"/>
      <c r="C2" s="183"/>
      <c r="D2" s="183"/>
      <c r="E2" s="183"/>
      <c r="F2" s="183"/>
      <c r="G2" s="183"/>
      <c r="H2" s="183"/>
      <c r="I2" s="183"/>
      <c r="J2" s="183"/>
      <c r="K2" s="183"/>
      <c r="L2" s="183"/>
      <c r="M2" s="183"/>
      <c r="N2" s="183"/>
      <c r="O2" s="48" t="s">
        <v>102</v>
      </c>
      <c r="P2" s="164" t="s">
        <v>103</v>
      </c>
      <c r="Q2" s="165"/>
    </row>
    <row r="3" spans="1:17" ht="16.149999999999999" thickBot="1" x14ac:dyDescent="0.55000000000000004"/>
    <row r="4" spans="1:17" ht="21.4" thickBot="1" x14ac:dyDescent="0.7">
      <c r="A4" s="169" t="s">
        <v>94</v>
      </c>
      <c r="B4" s="170"/>
      <c r="C4" s="170"/>
      <c r="D4" s="170"/>
      <c r="E4" s="170"/>
      <c r="F4" s="170"/>
      <c r="G4" s="170"/>
      <c r="H4" s="170"/>
      <c r="I4" s="170"/>
      <c r="J4" s="170"/>
      <c r="K4" s="170"/>
      <c r="L4" s="170"/>
      <c r="M4" s="170"/>
      <c r="N4" s="171"/>
      <c r="P4" s="172" t="s">
        <v>90</v>
      </c>
      <c r="Q4" s="173"/>
    </row>
    <row r="5" spans="1:17" ht="16.149999999999999" thickBot="1" x14ac:dyDescent="0.55000000000000004"/>
    <row r="6" spans="1:17" ht="16.149999999999999" customHeight="1" thickBot="1" x14ac:dyDescent="0.55000000000000004">
      <c r="B6" s="118" t="s">
        <v>126</v>
      </c>
      <c r="C6" s="119"/>
      <c r="D6" s="120"/>
      <c r="F6" s="137" t="s">
        <v>123</v>
      </c>
      <c r="G6" s="137"/>
      <c r="K6" s="137" t="s">
        <v>125</v>
      </c>
      <c r="L6" s="137"/>
      <c r="M6" s="137"/>
      <c r="N6" s="137"/>
    </row>
    <row r="7" spans="1:17" ht="15.75" customHeight="1" thickBot="1" x14ac:dyDescent="0.55000000000000004">
      <c r="B7" s="53" t="s">
        <v>10</v>
      </c>
      <c r="C7" s="53" t="s">
        <v>11</v>
      </c>
      <c r="D7" s="50" t="s">
        <v>12</v>
      </c>
      <c r="F7" s="60" t="s">
        <v>119</v>
      </c>
      <c r="G7" s="60" t="s">
        <v>124</v>
      </c>
      <c r="K7" s="60" t="s">
        <v>38</v>
      </c>
      <c r="L7" s="60" t="s">
        <v>107</v>
      </c>
      <c r="M7" s="60" t="s">
        <v>108</v>
      </c>
      <c r="N7" s="60" t="s">
        <v>109</v>
      </c>
      <c r="P7" s="174" t="s">
        <v>105</v>
      </c>
      <c r="Q7" s="174"/>
    </row>
    <row r="8" spans="1:17" x14ac:dyDescent="0.5">
      <c r="A8" s="138" t="s">
        <v>121</v>
      </c>
      <c r="B8" s="54">
        <f>L51+L52</f>
        <v>158</v>
      </c>
      <c r="C8" s="54">
        <f>L53+L54</f>
        <v>1659</v>
      </c>
      <c r="D8" s="59">
        <f>B8+C8</f>
        <v>1817</v>
      </c>
      <c r="F8" s="62" t="s">
        <v>118</v>
      </c>
      <c r="G8" s="63">
        <v>17.7</v>
      </c>
      <c r="I8" s="146" t="s">
        <v>110</v>
      </c>
      <c r="J8" s="146"/>
      <c r="K8" s="69">
        <f>D18</f>
        <v>35.68385</v>
      </c>
      <c r="L8" s="70">
        <f>$K$8*$G$9</f>
        <v>114.40242309999999</v>
      </c>
      <c r="M8" s="71">
        <f>$K$8*$G$10*1000000</f>
        <v>1784.1925000000001</v>
      </c>
      <c r="N8" s="71">
        <f>$K$8*G11*1000000</f>
        <v>6423.0930000000008</v>
      </c>
      <c r="P8" s="175" t="s">
        <v>91</v>
      </c>
      <c r="Q8" s="175"/>
    </row>
    <row r="9" spans="1:17" ht="16.149999999999999" thickBot="1" x14ac:dyDescent="0.55000000000000004">
      <c r="A9" s="139"/>
      <c r="B9" s="49">
        <f>O51</f>
        <v>0.13429999999999997</v>
      </c>
      <c r="C9" s="49">
        <f>O53</f>
        <v>1.4101500000000002</v>
      </c>
      <c r="D9" s="112">
        <f>B9+C9</f>
        <v>1.5444500000000003</v>
      </c>
      <c r="E9" s="51"/>
      <c r="F9" s="64" t="s">
        <v>115</v>
      </c>
      <c r="G9" s="65">
        <v>3.206</v>
      </c>
      <c r="I9" s="153" t="s">
        <v>111</v>
      </c>
      <c r="J9" s="153"/>
      <c r="K9" s="72">
        <f>K$8/$N$25*1000</f>
        <v>5.8738847736625521</v>
      </c>
      <c r="L9" s="72">
        <f>L$8/$N$25*1000</f>
        <v>18.831674584362137</v>
      </c>
      <c r="M9" s="73">
        <f>M$8/$N$25</f>
        <v>0.29369423868312761</v>
      </c>
      <c r="N9" s="73">
        <f>N$8/$N$25</f>
        <v>1.0572992592592594</v>
      </c>
      <c r="P9" s="178" t="s">
        <v>92</v>
      </c>
      <c r="Q9" s="179"/>
    </row>
    <row r="10" spans="1:17" x14ac:dyDescent="0.5">
      <c r="A10" s="138" t="s">
        <v>127</v>
      </c>
      <c r="B10" s="26"/>
      <c r="C10" s="26"/>
      <c r="D10" s="114">
        <f>F41</f>
        <v>40</v>
      </c>
      <c r="F10" s="64" t="s">
        <v>116</v>
      </c>
      <c r="G10" s="66">
        <v>5.0000000000000002E-5</v>
      </c>
      <c r="I10" s="153" t="s">
        <v>112</v>
      </c>
      <c r="J10" s="153"/>
      <c r="K10" s="74">
        <f>K$8/$N$30*1000</f>
        <v>68.464924146055537</v>
      </c>
      <c r="L10" s="74">
        <f>L$8/$N$30*1000</f>
        <v>219.49854681225406</v>
      </c>
      <c r="M10" s="74">
        <f>M$8/$N$30</f>
        <v>3.4232462073027774</v>
      </c>
      <c r="N10" s="74">
        <f>N$8/$N$30</f>
        <v>12.32368634629</v>
      </c>
      <c r="P10" s="176" t="s">
        <v>106</v>
      </c>
      <c r="Q10" s="177"/>
    </row>
    <row r="11" spans="1:17" ht="16.149999999999999" customHeight="1" thickBot="1" x14ac:dyDescent="0.55000000000000004">
      <c r="A11" s="139"/>
      <c r="B11" s="26"/>
      <c r="C11" s="26"/>
      <c r="D11" s="113">
        <f>G41</f>
        <v>0</v>
      </c>
      <c r="F11" s="67" t="s">
        <v>117</v>
      </c>
      <c r="G11" s="68">
        <v>1.8000000000000001E-4</v>
      </c>
      <c r="I11" s="153" t="s">
        <v>113</v>
      </c>
      <c r="J11" s="153"/>
      <c r="K11" s="75">
        <f>K$8/($N$25*$N$30)*1000000</f>
        <v>11.269946361490623</v>
      </c>
      <c r="L11" s="75">
        <f>L$8/($N$25*$N$30)*1000000</f>
        <v>36.131448034938941</v>
      </c>
      <c r="M11" s="76">
        <f>M$8/($N$25*$N$30)*1000</f>
        <v>0.56349731807453129</v>
      </c>
      <c r="N11" s="76">
        <f>N$8/($N$25*$N$30)*1000</f>
        <v>2.0285903450683129</v>
      </c>
      <c r="P11" s="121" t="s">
        <v>152</v>
      </c>
      <c r="Q11" s="122"/>
    </row>
    <row r="12" spans="1:17" ht="16.149999999999999" thickBot="1" x14ac:dyDescent="0.55000000000000004">
      <c r="F12" s="156" t="s">
        <v>114</v>
      </c>
      <c r="G12" s="157"/>
      <c r="I12" s="154" t="s">
        <v>122</v>
      </c>
      <c r="J12" s="154"/>
      <c r="K12" s="77">
        <f>K$8/($N$25*$N$31)*1000000</f>
        <v>5.2790422885848143</v>
      </c>
      <c r="L12" s="77">
        <f>L$8/($N$25*$N$31)*1000000</f>
        <v>16.924609577202911</v>
      </c>
      <c r="M12" s="78">
        <f>M$8/($N$25*$N$31)*1000</f>
        <v>0.26395211442924071</v>
      </c>
      <c r="N12" s="78">
        <f>N$8/($N$25*$N$31)*1000</f>
        <v>0.95022761194526673</v>
      </c>
      <c r="P12" s="275" t="s">
        <v>159</v>
      </c>
      <c r="Q12" s="275"/>
    </row>
    <row r="13" spans="1:17" ht="16.149999999999999" thickBot="1" x14ac:dyDescent="0.55000000000000004">
      <c r="B13" s="118" t="s">
        <v>120</v>
      </c>
      <c r="C13" s="119"/>
      <c r="D13" s="120"/>
    </row>
    <row r="14" spans="1:17" ht="16.149999999999999" thickBot="1" x14ac:dyDescent="0.55000000000000004">
      <c r="B14" s="53" t="s">
        <v>10</v>
      </c>
      <c r="C14" s="53" t="s">
        <v>11</v>
      </c>
      <c r="D14" s="50" t="s">
        <v>12</v>
      </c>
      <c r="F14" s="144" t="s">
        <v>128</v>
      </c>
      <c r="G14" s="145"/>
      <c r="I14" s="150" t="s">
        <v>129</v>
      </c>
      <c r="J14" s="151"/>
      <c r="K14" s="151"/>
      <c r="L14" s="151"/>
      <c r="M14" s="151"/>
      <c r="N14" s="152"/>
    </row>
    <row r="15" spans="1:17" ht="16.149999999999999" thickBot="1" x14ac:dyDescent="0.55000000000000004">
      <c r="A15" s="133" t="s">
        <v>121</v>
      </c>
      <c r="B15" s="54">
        <f>SUM(L59+L60)</f>
        <v>28791</v>
      </c>
      <c r="C15" s="54">
        <f>SUM(L61+L62)</f>
        <v>13190</v>
      </c>
      <c r="D15" s="55">
        <f>B15+C15</f>
        <v>41981</v>
      </c>
      <c r="E15" s="58"/>
      <c r="F15" s="140" t="str">
        <f>IF(SUM(ABS(H43),ABS(K43),ABS(N43))&gt;1.5,"Available fuel after transactions and consumption is not in line with reported ROB for MDO. Please review report data and correct where applicable. Otherwise, provide additional information.","")</f>
        <v>Available fuel after transactions and consumption is not in line with reported ROB for MDO. Please review report data and correct where applicable. Otherwise, provide additional information.</v>
      </c>
      <c r="G15" s="141"/>
      <c r="I15" s="155"/>
      <c r="J15" s="155"/>
      <c r="K15" s="155"/>
      <c r="L15" s="155"/>
      <c r="M15" s="155"/>
      <c r="N15" s="155"/>
    </row>
    <row r="16" spans="1:17" ht="15.75" customHeight="1" thickBot="1" x14ac:dyDescent="0.55000000000000004">
      <c r="A16" s="134"/>
      <c r="B16" s="49">
        <f>B15*C44/1000</f>
        <v>24.472349999999999</v>
      </c>
      <c r="C16" s="49">
        <f>C15*C44/1000</f>
        <v>11.211499999999999</v>
      </c>
      <c r="D16" s="49">
        <f>B16+C16</f>
        <v>35.68385</v>
      </c>
      <c r="F16" s="140"/>
      <c r="G16" s="141"/>
      <c r="I16" s="155"/>
      <c r="J16" s="155"/>
      <c r="K16" s="155"/>
      <c r="L16" s="155"/>
      <c r="M16" s="155"/>
      <c r="N16" s="155"/>
    </row>
    <row r="17" spans="1:17" ht="16.149999999999999" thickBot="1" x14ac:dyDescent="0.55000000000000004">
      <c r="A17" s="135" t="s">
        <v>130</v>
      </c>
      <c r="B17" s="54">
        <f>SUM(B15-N78-N79-N95-N96-N112-N113-N129-N130)</f>
        <v>28791</v>
      </c>
      <c r="C17" s="54">
        <f>SUM(C15-N80-N81-N97-N98-N114-N115-N131-N132)</f>
        <v>13190</v>
      </c>
      <c r="D17" s="55">
        <f>B17+C17</f>
        <v>41981</v>
      </c>
      <c r="F17" s="140"/>
      <c r="G17" s="141"/>
      <c r="I17" s="155"/>
      <c r="J17" s="155"/>
      <c r="K17" s="155"/>
      <c r="L17" s="155"/>
      <c r="M17" s="155"/>
      <c r="N17" s="155"/>
    </row>
    <row r="18" spans="1:17" ht="16.149999999999999" thickBot="1" x14ac:dyDescent="0.55000000000000004">
      <c r="A18" s="136"/>
      <c r="B18" s="49">
        <f>B17*C44/1000</f>
        <v>24.472349999999999</v>
      </c>
      <c r="C18" s="49">
        <f>C17*C44/1000</f>
        <v>11.211499999999999</v>
      </c>
      <c r="D18" s="49">
        <f>B18+C18</f>
        <v>35.68385</v>
      </c>
      <c r="F18" s="142"/>
      <c r="G18" s="143"/>
      <c r="I18" s="155"/>
      <c r="J18" s="155"/>
      <c r="K18" s="155"/>
      <c r="L18" s="155"/>
      <c r="M18" s="155"/>
      <c r="N18" s="155"/>
    </row>
    <row r="19" spans="1:17" ht="16.149999999999999" thickBot="1" x14ac:dyDescent="0.55000000000000004"/>
    <row r="20" spans="1:17" ht="21.4" thickBot="1" x14ac:dyDescent="0.7">
      <c r="A20" s="123" t="s">
        <v>95</v>
      </c>
      <c r="B20" s="124"/>
      <c r="C20" s="124"/>
      <c r="D20" s="124"/>
      <c r="E20" s="124"/>
      <c r="F20" s="124"/>
      <c r="G20" s="124"/>
      <c r="H20" s="124"/>
      <c r="I20" s="124"/>
      <c r="J20" s="124"/>
      <c r="K20" s="124"/>
      <c r="L20" s="124"/>
      <c r="M20" s="124"/>
      <c r="N20" s="124"/>
      <c r="O20" s="124"/>
      <c r="P20" s="124"/>
      <c r="Q20" s="125"/>
    </row>
    <row r="21" spans="1:17" ht="16.149999999999999" thickBot="1" x14ac:dyDescent="0.55000000000000004"/>
    <row r="22" spans="1:17" ht="16.149999999999999" thickBot="1" x14ac:dyDescent="0.55000000000000004">
      <c r="A22" s="61" t="s">
        <v>0</v>
      </c>
      <c r="B22" s="79" t="s">
        <v>1</v>
      </c>
      <c r="C22" s="116" cm="1">
        <f t="array" ref="C22">_xlfn._xlws.FILTER(Data!C2:C9,Data!B2:B9='Reporting form'!B22)</f>
        <v>9982938</v>
      </c>
      <c r="D22" s="117"/>
      <c r="F22" s="61" t="s">
        <v>2</v>
      </c>
      <c r="G22" s="115" t="s">
        <v>156</v>
      </c>
      <c r="H22" s="115"/>
      <c r="I22" s="115"/>
      <c r="Q22" s="3"/>
    </row>
    <row r="23" spans="1:17" ht="16.5" customHeight="1" thickBot="1" x14ac:dyDescent="0.55000000000000004"/>
    <row r="24" spans="1:17" ht="16.5" customHeight="1" thickBot="1" x14ac:dyDescent="0.55000000000000004">
      <c r="A24" s="150" t="s">
        <v>48</v>
      </c>
      <c r="B24" s="151"/>
      <c r="C24" s="151"/>
      <c r="D24" s="152"/>
      <c r="F24" s="150" t="s">
        <v>47</v>
      </c>
      <c r="G24" s="151"/>
      <c r="H24" s="151"/>
      <c r="I24" s="152"/>
      <c r="K24" s="137" t="s">
        <v>147</v>
      </c>
      <c r="L24" s="137"/>
      <c r="M24" s="137"/>
      <c r="N24" s="137"/>
      <c r="P24" s="96"/>
    </row>
    <row r="25" spans="1:17" x14ac:dyDescent="0.5">
      <c r="A25" s="95" t="s">
        <v>4</v>
      </c>
      <c r="B25" s="86" t="s">
        <v>93</v>
      </c>
      <c r="C25" s="158" t="s">
        <v>5</v>
      </c>
      <c r="D25" s="159"/>
      <c r="F25" s="95" t="s">
        <v>6</v>
      </c>
      <c r="G25" s="86" t="s">
        <v>158</v>
      </c>
      <c r="H25" s="158" t="s">
        <v>157</v>
      </c>
      <c r="I25" s="159"/>
      <c r="K25" s="271" t="s">
        <v>3</v>
      </c>
      <c r="L25" s="272"/>
      <c r="M25" s="272"/>
      <c r="N25" s="92">
        <v>6075</v>
      </c>
    </row>
    <row r="26" spans="1:17" x14ac:dyDescent="0.5">
      <c r="A26" s="80" t="s">
        <v>8</v>
      </c>
      <c r="B26" s="56">
        <v>46006</v>
      </c>
      <c r="C26" s="160" t="s">
        <v>76</v>
      </c>
      <c r="D26" s="161"/>
      <c r="F26" s="80" t="s">
        <v>8</v>
      </c>
      <c r="G26" s="56">
        <v>46036</v>
      </c>
      <c r="H26" s="160" t="s">
        <v>78</v>
      </c>
      <c r="I26" s="161"/>
      <c r="K26" s="273" t="s">
        <v>7</v>
      </c>
      <c r="L26" s="274"/>
      <c r="M26" s="274"/>
      <c r="N26" s="93">
        <f>(G26-B26)*24-B29+G29</f>
        <v>749.65902777777956</v>
      </c>
    </row>
    <row r="27" spans="1:17" ht="16.149999999999999" thickBot="1" x14ac:dyDescent="0.55000000000000004">
      <c r="A27" s="80" t="s">
        <v>13</v>
      </c>
      <c r="B27" s="9">
        <v>0.52847222222222223</v>
      </c>
      <c r="C27" s="160"/>
      <c r="D27" s="161"/>
      <c r="F27" s="80" t="s">
        <v>13</v>
      </c>
      <c r="G27" s="9">
        <v>0.35416666666666669</v>
      </c>
      <c r="H27" s="160"/>
      <c r="I27" s="161"/>
      <c r="J27" s="30"/>
      <c r="K27" s="220" t="s">
        <v>9</v>
      </c>
      <c r="L27" s="221"/>
      <c r="M27" s="221"/>
      <c r="N27" s="94">
        <f>N25/N26</f>
        <v>8.1036841749350668</v>
      </c>
    </row>
    <row r="28" spans="1:17" ht="16.149999999999999" thickBot="1" x14ac:dyDescent="0.55000000000000004">
      <c r="A28" s="80" t="s">
        <v>153</v>
      </c>
      <c r="B28" s="87">
        <f>B26+B27-(MID(C26,4,LEN(C26)-3)/24)</f>
        <v>46006.65347222222</v>
      </c>
      <c r="C28" s="162" t="s">
        <v>16</v>
      </c>
      <c r="D28" s="163"/>
      <c r="F28" s="80" t="s">
        <v>153</v>
      </c>
      <c r="G28" s="87">
        <f>G26+G27-(MID(H26,4,LEN(H26)-3)/24)</f>
        <v>46036.3125</v>
      </c>
      <c r="H28" s="162" t="s">
        <v>16</v>
      </c>
      <c r="I28" s="163"/>
    </row>
    <row r="29" spans="1:17" ht="16.149999999999999" thickBot="1" x14ac:dyDescent="0.55000000000000004">
      <c r="A29" s="80" t="s">
        <v>154</v>
      </c>
      <c r="B29" s="97">
        <f>B26+B27-(MID(C26,4,LEN(C26)-3)/24)</f>
        <v>46006.65347222222</v>
      </c>
      <c r="C29" s="162"/>
      <c r="D29" s="163"/>
      <c r="F29" s="80" t="s">
        <v>154</v>
      </c>
      <c r="G29" s="97">
        <f>G26+G27-(MID(H26,4,LEN(H26)-3)/24)</f>
        <v>46036.3125</v>
      </c>
      <c r="H29" s="162"/>
      <c r="I29" s="163"/>
      <c r="K29" s="137" t="s">
        <v>146</v>
      </c>
      <c r="L29" s="137"/>
      <c r="M29" s="137"/>
      <c r="N29" s="137"/>
    </row>
    <row r="30" spans="1:17" x14ac:dyDescent="0.5">
      <c r="A30" s="80" t="s">
        <v>18</v>
      </c>
      <c r="B30" s="32">
        <v>23</v>
      </c>
      <c r="C30" s="33">
        <v>48</v>
      </c>
      <c r="D30" s="81" t="s">
        <v>62</v>
      </c>
      <c r="F30" s="80" t="s">
        <v>18</v>
      </c>
      <c r="G30" s="32">
        <v>49</v>
      </c>
      <c r="H30" s="33">
        <v>45</v>
      </c>
      <c r="I30" s="81" t="s">
        <v>19</v>
      </c>
      <c r="K30" s="271" t="s">
        <v>17</v>
      </c>
      <c r="L30" s="272"/>
      <c r="M30" s="272"/>
      <c r="N30" s="90">
        <v>521.19899999999996</v>
      </c>
    </row>
    <row r="31" spans="1:17" ht="16.149999999999999" thickBot="1" x14ac:dyDescent="0.55000000000000004">
      <c r="A31" s="82" t="s">
        <v>20</v>
      </c>
      <c r="B31" s="83">
        <v>45</v>
      </c>
      <c r="C31" s="84">
        <v>23</v>
      </c>
      <c r="D31" s="85" t="s">
        <v>63</v>
      </c>
      <c r="F31" s="82" t="s">
        <v>20</v>
      </c>
      <c r="G31" s="83">
        <v>0</v>
      </c>
      <c r="H31" s="84">
        <v>22</v>
      </c>
      <c r="I31" s="85" t="s">
        <v>21</v>
      </c>
      <c r="K31" s="220" t="s">
        <v>22</v>
      </c>
      <c r="L31" s="221"/>
      <c r="M31" s="221"/>
      <c r="N31" s="91">
        <v>1112.68</v>
      </c>
    </row>
    <row r="32" spans="1:17" ht="16.149999999999999" thickBot="1" x14ac:dyDescent="0.55000000000000004"/>
    <row r="33" spans="1:17" ht="30.75" customHeight="1" thickBot="1" x14ac:dyDescent="0.55000000000000004">
      <c r="A33" s="126" t="s">
        <v>23</v>
      </c>
      <c r="B33" s="127"/>
      <c r="C33" s="127"/>
      <c r="D33" s="127"/>
      <c r="E33" s="127"/>
      <c r="F33" s="127"/>
      <c r="G33" s="127"/>
      <c r="H33" s="127"/>
      <c r="I33" s="127"/>
      <c r="J33" s="127"/>
      <c r="K33" s="127"/>
      <c r="L33" s="127"/>
      <c r="M33" s="127"/>
      <c r="N33" s="127"/>
      <c r="O33" s="127"/>
      <c r="P33" s="127"/>
      <c r="Q33" s="128"/>
    </row>
    <row r="34" spans="1:17" ht="16.149999999999999" thickBot="1" x14ac:dyDescent="0.55000000000000004"/>
    <row r="35" spans="1:17" ht="34.5" customHeight="1" thickBot="1" x14ac:dyDescent="0.55000000000000004">
      <c r="B35" s="47" t="s">
        <v>148</v>
      </c>
      <c r="C35" s="129" t="s">
        <v>24</v>
      </c>
      <c r="D35" s="130"/>
      <c r="E35" s="131"/>
      <c r="F35" s="129" t="s">
        <v>25</v>
      </c>
      <c r="G35" s="242"/>
      <c r="H35" s="138" t="s">
        <v>26</v>
      </c>
      <c r="I35" s="241"/>
      <c r="J35" s="241"/>
      <c r="K35" s="222" t="s">
        <v>27</v>
      </c>
      <c r="L35" s="223"/>
      <c r="M35" s="224"/>
      <c r="N35" s="118" t="s">
        <v>28</v>
      </c>
      <c r="O35" s="119"/>
      <c r="P35" s="119"/>
      <c r="Q35" s="120"/>
    </row>
    <row r="36" spans="1:17" x14ac:dyDescent="0.5">
      <c r="A36" s="13" t="s">
        <v>29</v>
      </c>
      <c r="B36" s="22">
        <v>0.85</v>
      </c>
      <c r="C36" s="20">
        <v>31.1</v>
      </c>
      <c r="D36" s="210">
        <f>C36*DA</f>
        <v>26.435000000000002</v>
      </c>
      <c r="E36" s="211"/>
      <c r="F36" s="20"/>
      <c r="G36" s="37">
        <f>F36*DA</f>
        <v>0</v>
      </c>
      <c r="H36" s="214">
        <v>68.400000000000006</v>
      </c>
      <c r="I36" s="215"/>
      <c r="J36" s="37">
        <f>H36*DA</f>
        <v>58.14</v>
      </c>
      <c r="K36" s="214">
        <v>22.89</v>
      </c>
      <c r="L36" s="215"/>
      <c r="M36" s="37">
        <f>K36*DA</f>
        <v>19.456499999999998</v>
      </c>
      <c r="N36" s="247">
        <f>H36-K36</f>
        <v>45.510000000000005</v>
      </c>
      <c r="O36" s="248"/>
      <c r="P36" s="251">
        <f>(H36-K36)*DA</f>
        <v>38.683500000000002</v>
      </c>
      <c r="Q36" s="252"/>
    </row>
    <row r="37" spans="1:17" ht="17.25" customHeight="1" x14ac:dyDescent="0.5">
      <c r="A37" s="14" t="s">
        <v>30</v>
      </c>
      <c r="B37" s="23"/>
      <c r="C37" s="21"/>
      <c r="D37" s="212">
        <f>C37*DB</f>
        <v>0</v>
      </c>
      <c r="E37" s="213"/>
      <c r="F37" s="21">
        <v>14</v>
      </c>
      <c r="G37" s="38">
        <f>E37*DB</f>
        <v>0</v>
      </c>
      <c r="H37" s="216"/>
      <c r="I37" s="217"/>
      <c r="J37" s="38">
        <f>H37*DB</f>
        <v>0</v>
      </c>
      <c r="K37" s="216"/>
      <c r="L37" s="217"/>
      <c r="M37" s="38">
        <f>K37*DB</f>
        <v>0</v>
      </c>
      <c r="N37" s="229">
        <f>H37-K37</f>
        <v>0</v>
      </c>
      <c r="O37" s="230"/>
      <c r="P37" s="235">
        <f>(H37-K37)*DA</f>
        <v>0</v>
      </c>
      <c r="Q37" s="236"/>
    </row>
    <row r="38" spans="1:17" ht="17.25" customHeight="1" x14ac:dyDescent="0.5">
      <c r="A38" s="14" t="s">
        <v>31</v>
      </c>
      <c r="B38" s="23"/>
      <c r="C38" s="21"/>
      <c r="D38" s="212">
        <f>C38*DB</f>
        <v>0</v>
      </c>
      <c r="E38" s="213"/>
      <c r="F38" s="21"/>
      <c r="G38" s="38">
        <f>E38*DB</f>
        <v>0</v>
      </c>
      <c r="H38" s="216"/>
      <c r="I38" s="217"/>
      <c r="J38" s="38">
        <f>H38*DB</f>
        <v>0</v>
      </c>
      <c r="K38" s="216"/>
      <c r="L38" s="217"/>
      <c r="M38" s="38">
        <f>K38*DB</f>
        <v>0</v>
      </c>
      <c r="N38" s="229">
        <f>H38-K38</f>
        <v>0</v>
      </c>
      <c r="O38" s="230"/>
      <c r="P38" s="235">
        <f>(H38-K38)*DA</f>
        <v>0</v>
      </c>
      <c r="Q38" s="236"/>
    </row>
    <row r="39" spans="1:17" ht="17.25" customHeight="1" x14ac:dyDescent="0.5">
      <c r="A39" s="14" t="s">
        <v>32</v>
      </c>
      <c r="B39" s="23"/>
      <c r="C39" s="21"/>
      <c r="D39" s="212">
        <f>C39*DB</f>
        <v>0</v>
      </c>
      <c r="E39" s="213"/>
      <c r="F39" s="21">
        <v>26</v>
      </c>
      <c r="G39" s="38">
        <f>E39*DB</f>
        <v>0</v>
      </c>
      <c r="H39" s="216"/>
      <c r="I39" s="217"/>
      <c r="J39" s="38">
        <f>H39*DB</f>
        <v>0</v>
      </c>
      <c r="K39" s="216"/>
      <c r="L39" s="217"/>
      <c r="M39" s="38">
        <f>K39*DB</f>
        <v>0</v>
      </c>
      <c r="N39" s="229">
        <f>H39-K39</f>
        <v>0</v>
      </c>
      <c r="O39" s="230"/>
      <c r="P39" s="235">
        <f>(H39-K39)*DA</f>
        <v>0</v>
      </c>
      <c r="Q39" s="236"/>
    </row>
    <row r="40" spans="1:17" ht="15.75" customHeight="1" thickBot="1" x14ac:dyDescent="0.55000000000000004">
      <c r="A40" s="15" t="s">
        <v>33</v>
      </c>
      <c r="B40" s="16"/>
      <c r="C40" s="17"/>
      <c r="D40" s="249">
        <f>C40*DB</f>
        <v>0</v>
      </c>
      <c r="E40" s="250"/>
      <c r="F40" s="17"/>
      <c r="G40" s="39" cm="1">
        <f t="array" ref="G40">E40*dc</f>
        <v>0</v>
      </c>
      <c r="H40" s="218"/>
      <c r="I40" s="219"/>
      <c r="J40" s="39" cm="1">
        <f t="array" ref="J40">H40*dc</f>
        <v>0</v>
      </c>
      <c r="K40" s="218"/>
      <c r="L40" s="219"/>
      <c r="M40" s="39">
        <f>K40*dc</f>
        <v>0</v>
      </c>
      <c r="N40" s="231">
        <f>H40-K40</f>
        <v>0</v>
      </c>
      <c r="O40" s="232"/>
      <c r="P40" s="237">
        <f>(H40-K40)*DA</f>
        <v>0</v>
      </c>
      <c r="Q40" s="238"/>
    </row>
    <row r="41" spans="1:17" ht="29.25" customHeight="1" thickBot="1" x14ac:dyDescent="0.55000000000000004">
      <c r="A41" s="24" t="s">
        <v>12</v>
      </c>
      <c r="B41" s="25"/>
      <c r="C41" s="36">
        <f>SUM(C36:C40)</f>
        <v>31.1</v>
      </c>
      <c r="D41" s="233">
        <f>SUM(D36:E40)</f>
        <v>26.435000000000002</v>
      </c>
      <c r="E41" s="234"/>
      <c r="F41" s="36">
        <f>SUM(F36:F40)</f>
        <v>40</v>
      </c>
      <c r="G41" s="40">
        <f>SUM(G36:G40)</f>
        <v>0</v>
      </c>
      <c r="H41" s="239">
        <f>SUM(H36:H40)</f>
        <v>68.400000000000006</v>
      </c>
      <c r="I41" s="240"/>
      <c r="J41" s="40">
        <f>SUM(J36:J40)</f>
        <v>58.14</v>
      </c>
      <c r="K41" s="239">
        <f>SUM(K36:L40)</f>
        <v>22.89</v>
      </c>
      <c r="L41" s="240"/>
      <c r="M41" s="40">
        <f>SUM(M36:M40)</f>
        <v>19.456499999999998</v>
      </c>
      <c r="N41" s="245">
        <f>SUM(N36:O40)</f>
        <v>45.510000000000005</v>
      </c>
      <c r="O41" s="246"/>
      <c r="P41" s="233">
        <f>SUM(P36:Q40)</f>
        <v>38.683500000000002</v>
      </c>
      <c r="Q41" s="234"/>
    </row>
    <row r="42" spans="1:17" ht="36" customHeight="1" thickBot="1" x14ac:dyDescent="0.55000000000000004">
      <c r="A42" s="144" t="s">
        <v>34</v>
      </c>
      <c r="B42" s="145"/>
      <c r="C42" s="27"/>
      <c r="D42" s="27"/>
      <c r="E42" s="27"/>
      <c r="F42" s="27"/>
      <c r="G42" s="27"/>
      <c r="H42" s="243">
        <f>C41+F41-((C59-C51+C60-C52+C61-C53+C62-C54)/1000)</f>
        <v>69.283000000000001</v>
      </c>
      <c r="I42" s="244"/>
      <c r="J42" s="28">
        <f>H42*C44</f>
        <v>58.890549999999998</v>
      </c>
      <c r="K42" s="243">
        <f>H41-((H59-C59+H60-C60+H61-C61+H62-C62)/1000)</f>
        <v>26.419000000000004</v>
      </c>
      <c r="L42" s="244"/>
      <c r="M42" s="28">
        <f>K42*C44</f>
        <v>22.456150000000004</v>
      </c>
      <c r="N42" s="243">
        <f>O59</f>
        <v>41.980999999999995</v>
      </c>
      <c r="O42" s="244"/>
      <c r="P42" s="29"/>
      <c r="Q42" s="26"/>
    </row>
    <row r="43" spans="1:17" ht="24" customHeight="1" thickBot="1" x14ac:dyDescent="0.55000000000000004">
      <c r="F43" s="144" t="s">
        <v>155</v>
      </c>
      <c r="G43" s="145"/>
      <c r="H43" s="227">
        <f>H41-H42</f>
        <v>-0.88299999999999557</v>
      </c>
      <c r="I43" s="228"/>
      <c r="J43" s="28">
        <f>H43*C45</f>
        <v>0</v>
      </c>
      <c r="K43" s="227">
        <f>K41-K42</f>
        <v>-3.5290000000000035</v>
      </c>
      <c r="L43" s="228"/>
      <c r="M43" s="28">
        <f>K43*C45</f>
        <v>0</v>
      </c>
      <c r="N43" s="227">
        <f>N41-N42</f>
        <v>3.5290000000000106</v>
      </c>
      <c r="O43" s="228"/>
      <c r="P43" s="29"/>
      <c r="Q43" s="26"/>
    </row>
    <row r="44" spans="1:17" ht="33.75" customHeight="1" thickBot="1" x14ac:dyDescent="0.55000000000000004">
      <c r="A44" s="132" t="s">
        <v>149</v>
      </c>
      <c r="B44" s="131"/>
      <c r="C44" s="45">
        <f>P41/N41</f>
        <v>0.85</v>
      </c>
    </row>
    <row r="45" spans="1:17" ht="14.25" customHeight="1" x14ac:dyDescent="0.5">
      <c r="G45" s="10"/>
    </row>
    <row r="46" spans="1:17" ht="14.25" customHeight="1" thickBot="1" x14ac:dyDescent="0.55000000000000004">
      <c r="G46" s="10"/>
    </row>
    <row r="47" spans="1:17" ht="27" customHeight="1" thickBot="1" x14ac:dyDescent="0.55000000000000004">
      <c r="A47" s="126" t="s">
        <v>96</v>
      </c>
      <c r="B47" s="127"/>
      <c r="C47" s="127"/>
      <c r="D47" s="127"/>
      <c r="E47" s="127"/>
      <c r="F47" s="127"/>
      <c r="G47" s="127"/>
      <c r="H47" s="127"/>
      <c r="I47" s="127"/>
      <c r="J47" s="127"/>
      <c r="K47" s="127"/>
      <c r="L47" s="127"/>
      <c r="M47" s="127"/>
      <c r="N47" s="127"/>
      <c r="O47" s="127"/>
      <c r="P47" s="127"/>
      <c r="Q47" s="128"/>
    </row>
    <row r="48" spans="1:17" ht="15" customHeight="1" x14ac:dyDescent="0.5"/>
    <row r="49" spans="1:17" x14ac:dyDescent="0.5">
      <c r="A49" s="7" t="s">
        <v>35</v>
      </c>
      <c r="B49" s="162" t="str">
        <f>B25</f>
        <v>Fécamp</v>
      </c>
      <c r="C49" s="162"/>
      <c r="J49" s="225" t="s">
        <v>36</v>
      </c>
      <c r="K49" s="225"/>
      <c r="L49" s="225"/>
      <c r="M49" s="225"/>
      <c r="N49" s="225"/>
      <c r="O49" s="225"/>
    </row>
    <row r="50" spans="1:17" x14ac:dyDescent="0.5">
      <c r="A50" s="52" t="s">
        <v>97</v>
      </c>
      <c r="B50" s="52" t="s">
        <v>100</v>
      </c>
      <c r="C50" s="52" t="s">
        <v>150</v>
      </c>
      <c r="J50" s="52" t="s">
        <v>97</v>
      </c>
      <c r="K50" s="52" t="s">
        <v>37</v>
      </c>
      <c r="L50" s="198" t="s">
        <v>38</v>
      </c>
      <c r="M50" s="199"/>
      <c r="N50" s="200"/>
      <c r="O50" s="52" t="s">
        <v>39</v>
      </c>
    </row>
    <row r="51" spans="1:17" x14ac:dyDescent="0.5">
      <c r="A51" s="2" t="s">
        <v>40</v>
      </c>
      <c r="B51" s="8">
        <v>2885</v>
      </c>
      <c r="C51" s="8">
        <v>149236</v>
      </c>
      <c r="J51" s="2" t="s">
        <v>40</v>
      </c>
      <c r="K51" s="41">
        <f>B59-B51</f>
        <v>2</v>
      </c>
      <c r="L51" s="42">
        <f>C59-C51</f>
        <v>77</v>
      </c>
      <c r="M51" s="43">
        <f>(L51)/1000</f>
        <v>7.6999999999999999E-2</v>
      </c>
      <c r="N51" s="44">
        <f>L51/1000*DA</f>
        <v>6.5449999999999994E-2</v>
      </c>
      <c r="O51" s="226">
        <f>N51+N52</f>
        <v>0.13429999999999997</v>
      </c>
    </row>
    <row r="52" spans="1:17" x14ac:dyDescent="0.5">
      <c r="A52" s="2" t="s">
        <v>41</v>
      </c>
      <c r="B52" s="8">
        <v>2608</v>
      </c>
      <c r="C52" s="8">
        <v>129532</v>
      </c>
      <c r="F52" s="6"/>
      <c r="J52" s="2" t="s">
        <v>41</v>
      </c>
      <c r="K52" s="41">
        <f t="shared" ref="K52:L52" si="0">B60-B52</f>
        <v>1</v>
      </c>
      <c r="L52" s="42">
        <f t="shared" si="0"/>
        <v>81</v>
      </c>
      <c r="M52" s="43">
        <f t="shared" ref="M52:M54" si="1">(L52)/1000</f>
        <v>8.1000000000000003E-2</v>
      </c>
      <c r="N52" s="44">
        <f>L52/1000*DA</f>
        <v>6.8849999999999995E-2</v>
      </c>
      <c r="O52" s="226"/>
    </row>
    <row r="53" spans="1:17" x14ac:dyDescent="0.5">
      <c r="A53" s="2" t="s">
        <v>42</v>
      </c>
      <c r="B53" s="8">
        <v>5929</v>
      </c>
      <c r="C53" s="8">
        <v>56431</v>
      </c>
      <c r="F53" s="6"/>
      <c r="J53" s="2" t="s">
        <v>42</v>
      </c>
      <c r="K53" s="41">
        <f t="shared" ref="K53:L53" si="2">B61-B53</f>
        <v>86</v>
      </c>
      <c r="L53" s="42">
        <f t="shared" si="2"/>
        <v>1219</v>
      </c>
      <c r="M53" s="43">
        <f t="shared" si="1"/>
        <v>1.2190000000000001</v>
      </c>
      <c r="N53" s="44">
        <f>L53/1000*DA</f>
        <v>1.0361500000000001</v>
      </c>
      <c r="O53" s="226">
        <f>N53+N54</f>
        <v>1.4101500000000002</v>
      </c>
    </row>
    <row r="54" spans="1:17" x14ac:dyDescent="0.5">
      <c r="A54" s="2" t="s">
        <v>43</v>
      </c>
      <c r="B54" s="8">
        <v>5932</v>
      </c>
      <c r="C54" s="8">
        <v>59327</v>
      </c>
      <c r="F54" s="6"/>
      <c r="J54" s="2" t="s">
        <v>43</v>
      </c>
      <c r="K54" s="41">
        <f t="shared" ref="K54:L54" si="3">B62-B54</f>
        <v>31</v>
      </c>
      <c r="L54" s="42">
        <f t="shared" si="3"/>
        <v>440</v>
      </c>
      <c r="M54" s="43">
        <f t="shared" si="1"/>
        <v>0.44</v>
      </c>
      <c r="N54" s="44">
        <f>L54/1000*DA</f>
        <v>0.374</v>
      </c>
      <c r="O54" s="226"/>
    </row>
    <row r="57" spans="1:17" x14ac:dyDescent="0.5">
      <c r="A57" s="7" t="s">
        <v>44</v>
      </c>
      <c r="B57" s="162" t="str">
        <f>B25</f>
        <v>Fécamp</v>
      </c>
      <c r="C57" s="162"/>
      <c r="F57" s="7" t="s">
        <v>35</v>
      </c>
      <c r="G57" s="162" t="str">
        <f>G25</f>
        <v>Newark</v>
      </c>
      <c r="H57" s="162"/>
      <c r="J57" s="207" t="s">
        <v>45</v>
      </c>
      <c r="K57" s="208"/>
      <c r="L57" s="208"/>
      <c r="M57" s="208"/>
      <c r="N57" s="208"/>
      <c r="O57" s="208"/>
      <c r="P57" s="208"/>
      <c r="Q57" s="209"/>
    </row>
    <row r="58" spans="1:17" x14ac:dyDescent="0.5">
      <c r="A58" s="52" t="s">
        <v>97</v>
      </c>
      <c r="B58" s="52" t="s">
        <v>100</v>
      </c>
      <c r="C58" s="52" t="s">
        <v>150</v>
      </c>
      <c r="F58" s="52" t="s">
        <v>97</v>
      </c>
      <c r="G58" s="52" t="s">
        <v>100</v>
      </c>
      <c r="H58" s="52" t="s">
        <v>150</v>
      </c>
      <c r="J58" s="52" t="s">
        <v>97</v>
      </c>
      <c r="K58" s="88" t="s">
        <v>37</v>
      </c>
      <c r="L58" s="198" t="s">
        <v>46</v>
      </c>
      <c r="M58" s="199"/>
      <c r="N58" s="200"/>
      <c r="O58" s="201" t="s">
        <v>151</v>
      </c>
      <c r="P58" s="202"/>
      <c r="Q58" s="203"/>
    </row>
    <row r="59" spans="1:17" x14ac:dyDescent="0.5">
      <c r="A59" s="2" t="s">
        <v>40</v>
      </c>
      <c r="B59" s="8">
        <v>2887</v>
      </c>
      <c r="C59" s="8">
        <v>149313</v>
      </c>
      <c r="F59" s="2" t="s">
        <v>40</v>
      </c>
      <c r="G59" s="8">
        <v>3238</v>
      </c>
      <c r="H59" s="8">
        <v>165029</v>
      </c>
      <c r="J59" s="2" t="s">
        <v>40</v>
      </c>
      <c r="K59" s="41">
        <f t="shared" ref="K59:L62" si="4">G59-B59</f>
        <v>351</v>
      </c>
      <c r="L59" s="42">
        <f>H59-C59</f>
        <v>15716</v>
      </c>
      <c r="M59" s="43">
        <f>(L59)/1000</f>
        <v>15.715999999999999</v>
      </c>
      <c r="N59" s="44">
        <f>M59*C44</f>
        <v>13.358599999999999</v>
      </c>
      <c r="O59" s="259">
        <f>M59+M60+M61+M62</f>
        <v>41.980999999999995</v>
      </c>
      <c r="P59" s="204">
        <f>N59+N60</f>
        <v>24.472349999999999</v>
      </c>
      <c r="Q59" s="204">
        <f>N59+N60+N61+N62</f>
        <v>35.68385</v>
      </c>
    </row>
    <row r="60" spans="1:17" x14ac:dyDescent="0.5">
      <c r="A60" s="2" t="s">
        <v>41</v>
      </c>
      <c r="B60" s="8">
        <v>2609</v>
      </c>
      <c r="C60" s="8">
        <v>129613</v>
      </c>
      <c r="F60" s="2" t="s">
        <v>41</v>
      </c>
      <c r="G60" s="8">
        <v>2866</v>
      </c>
      <c r="H60" s="8">
        <v>142688</v>
      </c>
      <c r="J60" s="2" t="s">
        <v>41</v>
      </c>
      <c r="K60" s="41">
        <f t="shared" si="4"/>
        <v>257</v>
      </c>
      <c r="L60" s="42">
        <f t="shared" si="4"/>
        <v>13075</v>
      </c>
      <c r="M60" s="43">
        <f>(L60)/1000</f>
        <v>13.074999999999999</v>
      </c>
      <c r="N60" s="44">
        <f>M60*C44</f>
        <v>11.11375</v>
      </c>
      <c r="O60" s="260"/>
      <c r="P60" s="206"/>
      <c r="Q60" s="205"/>
    </row>
    <row r="61" spans="1:17" x14ac:dyDescent="0.5">
      <c r="A61" s="2" t="s">
        <v>42</v>
      </c>
      <c r="B61" s="8">
        <v>6015</v>
      </c>
      <c r="C61" s="8">
        <v>57650</v>
      </c>
      <c r="F61" s="2" t="s">
        <v>42</v>
      </c>
      <c r="G61" s="8">
        <v>6387</v>
      </c>
      <c r="H61" s="8">
        <v>63459</v>
      </c>
      <c r="J61" s="2" t="s">
        <v>42</v>
      </c>
      <c r="K61" s="41">
        <f t="shared" si="4"/>
        <v>372</v>
      </c>
      <c r="L61" s="42">
        <f t="shared" si="4"/>
        <v>5809</v>
      </c>
      <c r="M61" s="43">
        <f t="shared" ref="M61:M62" si="5">(L61)/1000</f>
        <v>5.8090000000000002</v>
      </c>
      <c r="N61" s="44">
        <f>M61*C44</f>
        <v>4.9376499999999997</v>
      </c>
      <c r="O61" s="260"/>
      <c r="P61" s="204">
        <f>N61+N62</f>
        <v>11.211500000000001</v>
      </c>
      <c r="Q61" s="205"/>
    </row>
    <row r="62" spans="1:17" x14ac:dyDescent="0.5">
      <c r="A62" s="2" t="s">
        <v>43</v>
      </c>
      <c r="B62" s="8">
        <v>5963</v>
      </c>
      <c r="C62" s="8">
        <v>59767</v>
      </c>
      <c r="F62" s="2" t="s">
        <v>43</v>
      </c>
      <c r="G62" s="8">
        <v>6429</v>
      </c>
      <c r="H62" s="8">
        <v>67148</v>
      </c>
      <c r="J62" s="2" t="s">
        <v>43</v>
      </c>
      <c r="K62" s="41">
        <f t="shared" si="4"/>
        <v>466</v>
      </c>
      <c r="L62" s="42">
        <f t="shared" si="4"/>
        <v>7381</v>
      </c>
      <c r="M62" s="43">
        <f t="shared" si="5"/>
        <v>7.3810000000000002</v>
      </c>
      <c r="N62" s="44">
        <f>M62*C44</f>
        <v>6.2738500000000004</v>
      </c>
      <c r="O62" s="261"/>
      <c r="P62" s="206"/>
      <c r="Q62" s="206"/>
    </row>
    <row r="63" spans="1:17" ht="16.149999999999999" thickBot="1" x14ac:dyDescent="0.55000000000000004"/>
    <row r="64" spans="1:17" ht="21.4" thickBot="1" x14ac:dyDescent="0.7">
      <c r="A64" s="147" t="s">
        <v>145</v>
      </c>
      <c r="B64" s="148"/>
      <c r="C64" s="148"/>
      <c r="D64" s="148"/>
      <c r="E64" s="148"/>
      <c r="F64" s="148"/>
      <c r="G64" s="148"/>
      <c r="H64" s="148"/>
      <c r="I64" s="148"/>
      <c r="J64" s="148"/>
      <c r="K64" s="148"/>
      <c r="L64" s="148"/>
      <c r="M64" s="148"/>
      <c r="N64" s="148"/>
      <c r="O64" s="148"/>
      <c r="P64" s="148"/>
      <c r="Q64" s="149"/>
    </row>
    <row r="65" spans="1:17" ht="16.149999999999999" thickBot="1" x14ac:dyDescent="0.55000000000000004"/>
    <row r="66" spans="1:17" ht="18.399999999999999" thickBot="1" x14ac:dyDescent="0.6">
      <c r="A66" s="184" t="s">
        <v>141</v>
      </c>
      <c r="B66" s="185"/>
      <c r="C66" s="185"/>
      <c r="D66" s="185"/>
      <c r="E66" s="185"/>
      <c r="F66" s="185"/>
      <c r="G66" s="185"/>
      <c r="H66" s="185"/>
      <c r="I66" s="185"/>
      <c r="J66" s="185"/>
      <c r="K66" s="185"/>
      <c r="L66" s="185"/>
      <c r="M66" s="185"/>
      <c r="N66" s="185"/>
      <c r="O66" s="185"/>
      <c r="P66" s="185"/>
      <c r="Q66" s="186"/>
    </row>
    <row r="68" spans="1:17" x14ac:dyDescent="0.5">
      <c r="A68" s="187" t="s">
        <v>139</v>
      </c>
      <c r="B68" s="187"/>
      <c r="C68" s="187"/>
      <c r="D68" s="187"/>
      <c r="F68" s="187" t="s">
        <v>140</v>
      </c>
      <c r="G68" s="187"/>
      <c r="H68" s="187"/>
      <c r="I68" s="187"/>
      <c r="K68" s="187" t="s">
        <v>98</v>
      </c>
      <c r="L68" s="187"/>
      <c r="M68" s="187"/>
      <c r="N68" s="187"/>
      <c r="O68" s="187"/>
      <c r="P68" s="189">
        <f>((G71+G72)-(B71+B72))*24</f>
        <v>1423.6333333334187</v>
      </c>
      <c r="Q68" s="190"/>
    </row>
    <row r="69" spans="1:17" x14ac:dyDescent="0.5">
      <c r="A69" s="46" t="s">
        <v>8</v>
      </c>
      <c r="B69" s="56">
        <v>46006</v>
      </c>
      <c r="C69" s="160" t="s">
        <v>76</v>
      </c>
      <c r="D69" s="160"/>
      <c r="F69" s="46" t="s">
        <v>8</v>
      </c>
      <c r="G69" s="56">
        <v>46036</v>
      </c>
      <c r="H69" s="160" t="s">
        <v>78</v>
      </c>
      <c r="I69" s="160"/>
      <c r="K69" s="187" t="s">
        <v>101</v>
      </c>
      <c r="L69" s="187"/>
      <c r="M69" s="187"/>
      <c r="N69" s="187"/>
      <c r="O69" s="187"/>
      <c r="P69" s="191"/>
      <c r="Q69" s="192"/>
    </row>
    <row r="70" spans="1:17" x14ac:dyDescent="0.5">
      <c r="A70" s="46" t="s">
        <v>13</v>
      </c>
      <c r="B70" s="9">
        <v>0.52847222222222223</v>
      </c>
      <c r="C70" s="160"/>
      <c r="D70" s="160"/>
      <c r="F70" s="46" t="s">
        <v>13</v>
      </c>
      <c r="G70" s="9">
        <v>0.35416666666666669</v>
      </c>
      <c r="H70" s="160"/>
      <c r="I70" s="160"/>
    </row>
    <row r="71" spans="1:17" x14ac:dyDescent="0.5">
      <c r="A71" s="46" t="s">
        <v>153</v>
      </c>
      <c r="B71" s="87">
        <f>B69+B70-(MID(C69,4,LEN(C69)-3)/24)</f>
        <v>46006.65347222222</v>
      </c>
      <c r="C71" s="162" t="s">
        <v>16</v>
      </c>
      <c r="D71" s="162"/>
      <c r="F71" s="46" t="s">
        <v>153</v>
      </c>
      <c r="G71" s="87">
        <f>G69+G70-(MID(H69,4,LEN(H69)-3)/24)</f>
        <v>46036.3125</v>
      </c>
      <c r="H71" s="162" t="s">
        <v>16</v>
      </c>
      <c r="I71" s="162"/>
    </row>
    <row r="72" spans="1:17" x14ac:dyDescent="0.5">
      <c r="A72" s="46" t="s">
        <v>154</v>
      </c>
      <c r="B72" s="97">
        <f>B69+B70-(MID(C69,4,LEN(C69)-3)/24)</f>
        <v>46006.65347222222</v>
      </c>
      <c r="C72" s="162"/>
      <c r="D72" s="162"/>
      <c r="F72" s="46" t="s">
        <v>154</v>
      </c>
      <c r="G72" s="97">
        <f>G69+G70-(MID(H69,4,LEN(H69)-3)/24)</f>
        <v>46036.3125</v>
      </c>
      <c r="H72" s="162"/>
      <c r="I72" s="162"/>
    </row>
    <row r="73" spans="1:17" x14ac:dyDescent="0.5">
      <c r="A73" s="46" t="s">
        <v>18</v>
      </c>
      <c r="B73" s="32">
        <v>23</v>
      </c>
      <c r="C73" s="33">
        <v>48</v>
      </c>
      <c r="D73" s="34" t="s">
        <v>62</v>
      </c>
      <c r="F73" s="46" t="s">
        <v>18</v>
      </c>
      <c r="G73" s="32">
        <v>49</v>
      </c>
      <c r="H73" s="33">
        <v>45</v>
      </c>
      <c r="I73" s="35" t="s">
        <v>19</v>
      </c>
    </row>
    <row r="74" spans="1:17" x14ac:dyDescent="0.5">
      <c r="A74" s="46" t="s">
        <v>20</v>
      </c>
      <c r="B74" s="32">
        <v>45</v>
      </c>
      <c r="C74" s="33">
        <v>23</v>
      </c>
      <c r="D74" s="34" t="s">
        <v>63</v>
      </c>
      <c r="F74" s="46" t="s">
        <v>20</v>
      </c>
      <c r="G74" s="32">
        <v>0</v>
      </c>
      <c r="H74" s="33">
        <v>22</v>
      </c>
      <c r="I74" s="35" t="s">
        <v>21</v>
      </c>
    </row>
    <row r="76" spans="1:17" x14ac:dyDescent="0.5">
      <c r="A76" s="187" t="s">
        <v>99</v>
      </c>
      <c r="B76" s="187"/>
      <c r="C76" s="187"/>
      <c r="D76" s="187"/>
      <c r="F76" s="187" t="s">
        <v>99</v>
      </c>
      <c r="G76" s="187"/>
      <c r="H76" s="187"/>
      <c r="I76" s="187"/>
      <c r="K76" s="187" t="s">
        <v>49</v>
      </c>
      <c r="L76" s="187"/>
      <c r="M76" s="187"/>
      <c r="N76" s="187"/>
      <c r="O76" s="187"/>
      <c r="P76" s="187"/>
      <c r="Q76" s="187"/>
    </row>
    <row r="77" spans="1:17" x14ac:dyDescent="0.5">
      <c r="A77" s="89" t="s">
        <v>97</v>
      </c>
      <c r="B77" s="11" t="s">
        <v>100</v>
      </c>
      <c r="C77" s="187" t="s">
        <v>150</v>
      </c>
      <c r="D77" s="187"/>
      <c r="F77" s="46" t="s">
        <v>97</v>
      </c>
      <c r="G77" s="11" t="s">
        <v>100</v>
      </c>
      <c r="H77" s="187" t="s">
        <v>150</v>
      </c>
      <c r="I77" s="187"/>
      <c r="K77" s="187" t="s">
        <v>97</v>
      </c>
      <c r="L77" s="187"/>
      <c r="M77" s="12" t="s">
        <v>37</v>
      </c>
      <c r="N77" s="187" t="s">
        <v>38</v>
      </c>
      <c r="O77" s="187"/>
      <c r="P77" s="187"/>
      <c r="Q77" s="12" t="s">
        <v>12</v>
      </c>
    </row>
    <row r="78" spans="1:17" x14ac:dyDescent="0.5">
      <c r="A78" s="11" t="s">
        <v>40</v>
      </c>
      <c r="B78" s="57"/>
      <c r="C78" s="188"/>
      <c r="D78" s="188"/>
      <c r="F78" s="11" t="s">
        <v>40</v>
      </c>
      <c r="G78" s="57"/>
      <c r="H78" s="188"/>
      <c r="I78" s="188"/>
      <c r="K78" s="193" t="s">
        <v>40</v>
      </c>
      <c r="L78" s="193"/>
      <c r="M78" s="41">
        <f t="shared" ref="M78:N81" si="6">G78-B78</f>
        <v>0</v>
      </c>
      <c r="N78" s="42">
        <f t="shared" si="6"/>
        <v>0</v>
      </c>
      <c r="O78" s="43">
        <f>(N78)/1000</f>
        <v>0</v>
      </c>
      <c r="P78" s="44">
        <f>N78/1000*P69</f>
        <v>0</v>
      </c>
      <c r="Q78" s="194">
        <f>P78+P79</f>
        <v>0</v>
      </c>
    </row>
    <row r="79" spans="1:17" x14ac:dyDescent="0.5">
      <c r="A79" s="11" t="s">
        <v>41</v>
      </c>
      <c r="B79" s="57"/>
      <c r="C79" s="188"/>
      <c r="D79" s="188"/>
      <c r="F79" s="11" t="s">
        <v>41</v>
      </c>
      <c r="G79" s="57"/>
      <c r="H79" s="188"/>
      <c r="I79" s="188"/>
      <c r="K79" s="193" t="s">
        <v>41</v>
      </c>
      <c r="L79" s="193"/>
      <c r="M79" s="41">
        <f t="shared" si="6"/>
        <v>0</v>
      </c>
      <c r="N79" s="42">
        <f t="shared" si="6"/>
        <v>0</v>
      </c>
      <c r="O79" s="43">
        <f>(N79)/1000</f>
        <v>0</v>
      </c>
      <c r="P79" s="44">
        <f>N79/1000*P69</f>
        <v>0</v>
      </c>
      <c r="Q79" s="194"/>
    </row>
    <row r="80" spans="1:17" x14ac:dyDescent="0.5">
      <c r="A80" s="11" t="s">
        <v>42</v>
      </c>
      <c r="B80" s="57"/>
      <c r="C80" s="188"/>
      <c r="D80" s="188"/>
      <c r="F80" s="11" t="s">
        <v>42</v>
      </c>
      <c r="G80" s="57"/>
      <c r="H80" s="188"/>
      <c r="I80" s="188"/>
      <c r="K80" s="193" t="s">
        <v>42</v>
      </c>
      <c r="L80" s="193"/>
      <c r="M80" s="41">
        <f t="shared" si="6"/>
        <v>0</v>
      </c>
      <c r="N80" s="42">
        <f t="shared" si="6"/>
        <v>0</v>
      </c>
      <c r="O80" s="43">
        <f>(N80)/1000</f>
        <v>0</v>
      </c>
      <c r="P80" s="44">
        <f>N80/1000*P69</f>
        <v>0</v>
      </c>
      <c r="Q80" s="194">
        <f>P80+P81</f>
        <v>0</v>
      </c>
    </row>
    <row r="81" spans="1:17" x14ac:dyDescent="0.5">
      <c r="A81" s="11" t="s">
        <v>43</v>
      </c>
      <c r="B81" s="57"/>
      <c r="C81" s="188"/>
      <c r="D81" s="188"/>
      <c r="F81" s="11" t="s">
        <v>43</v>
      </c>
      <c r="G81" s="57"/>
      <c r="H81" s="188"/>
      <c r="I81" s="188"/>
      <c r="K81" s="193" t="s">
        <v>43</v>
      </c>
      <c r="L81" s="193"/>
      <c r="M81" s="41">
        <f t="shared" si="6"/>
        <v>0</v>
      </c>
      <c r="N81" s="42">
        <f t="shared" si="6"/>
        <v>0</v>
      </c>
      <c r="O81" s="43">
        <f>(N81)/1000</f>
        <v>0</v>
      </c>
      <c r="P81" s="44">
        <f>N81/1000*P69</f>
        <v>0</v>
      </c>
      <c r="Q81" s="194"/>
    </row>
    <row r="82" spans="1:17" ht="15" customHeight="1" thickBot="1" x14ac:dyDescent="0.55000000000000004"/>
    <row r="83" spans="1:17" ht="15" customHeight="1" thickBot="1" x14ac:dyDescent="0.6">
      <c r="A83" s="184" t="s">
        <v>142</v>
      </c>
      <c r="B83" s="185"/>
      <c r="C83" s="185"/>
      <c r="D83" s="185"/>
      <c r="E83" s="185"/>
      <c r="F83" s="185"/>
      <c r="G83" s="185"/>
      <c r="H83" s="185"/>
      <c r="I83" s="185"/>
      <c r="J83" s="185"/>
      <c r="K83" s="185"/>
      <c r="L83" s="185"/>
      <c r="M83" s="185"/>
      <c r="N83" s="185"/>
      <c r="O83" s="185"/>
      <c r="P83" s="185"/>
      <c r="Q83" s="186"/>
    </row>
    <row r="84" spans="1:17" ht="15" customHeight="1" x14ac:dyDescent="0.5"/>
    <row r="85" spans="1:17" x14ac:dyDescent="0.5">
      <c r="A85" s="187" t="s">
        <v>139</v>
      </c>
      <c r="B85" s="187"/>
      <c r="C85" s="187"/>
      <c r="D85" s="187"/>
      <c r="F85" s="187" t="s">
        <v>140</v>
      </c>
      <c r="G85" s="187"/>
      <c r="H85" s="187"/>
      <c r="I85" s="187"/>
      <c r="K85" s="187" t="s">
        <v>98</v>
      </c>
      <c r="L85" s="187"/>
      <c r="M85" s="187"/>
      <c r="N85" s="187"/>
      <c r="O85" s="187"/>
      <c r="P85" s="189">
        <f>((G88+G89)-(B88+B89))*24</f>
        <v>1423.6333333334187</v>
      </c>
      <c r="Q85" s="190"/>
    </row>
    <row r="86" spans="1:17" x14ac:dyDescent="0.5">
      <c r="A86" s="46" t="s">
        <v>8</v>
      </c>
      <c r="B86" s="56">
        <v>46006</v>
      </c>
      <c r="C86" s="160" t="s">
        <v>76</v>
      </c>
      <c r="D86" s="160"/>
      <c r="F86" s="46" t="s">
        <v>8</v>
      </c>
      <c r="G86" s="56">
        <v>46036</v>
      </c>
      <c r="H86" s="160" t="s">
        <v>78</v>
      </c>
      <c r="I86" s="160"/>
      <c r="K86" s="187" t="s">
        <v>101</v>
      </c>
      <c r="L86" s="187"/>
      <c r="M86" s="187"/>
      <c r="N86" s="187"/>
      <c r="O86" s="187"/>
      <c r="P86" s="191"/>
      <c r="Q86" s="192"/>
    </row>
    <row r="87" spans="1:17" x14ac:dyDescent="0.5">
      <c r="A87" s="46" t="s">
        <v>13</v>
      </c>
      <c r="B87" s="9">
        <v>0.52847222222222223</v>
      </c>
      <c r="C87" s="160"/>
      <c r="D87" s="160"/>
      <c r="F87" s="46" t="s">
        <v>13</v>
      </c>
      <c r="G87" s="9">
        <v>0.35416666666666669</v>
      </c>
      <c r="H87" s="160"/>
      <c r="I87" s="160"/>
    </row>
    <row r="88" spans="1:17" x14ac:dyDescent="0.5">
      <c r="A88" s="46" t="s">
        <v>153</v>
      </c>
      <c r="B88" s="87">
        <f>B86+B87-(MID(C86,4,LEN(C86)-3)/24)</f>
        <v>46006.65347222222</v>
      </c>
      <c r="C88" s="162" t="s">
        <v>16</v>
      </c>
      <c r="D88" s="162"/>
      <c r="F88" s="46" t="s">
        <v>153</v>
      </c>
      <c r="G88" s="87">
        <f>G86+G87-(MID(H86,4,LEN(H86)-3)/24)</f>
        <v>46036.3125</v>
      </c>
      <c r="H88" s="162" t="s">
        <v>16</v>
      </c>
      <c r="I88" s="162"/>
    </row>
    <row r="89" spans="1:17" x14ac:dyDescent="0.5">
      <c r="A89" s="46" t="s">
        <v>154</v>
      </c>
      <c r="B89" s="97">
        <f>B86+B87-(MID(C86,4,LEN(C86)-3)/24)</f>
        <v>46006.65347222222</v>
      </c>
      <c r="C89" s="162"/>
      <c r="D89" s="162"/>
      <c r="F89" s="46" t="s">
        <v>154</v>
      </c>
      <c r="G89" s="97">
        <f>G86+G87-(MID(H86,4,LEN(H86)-3)/24)</f>
        <v>46036.3125</v>
      </c>
      <c r="H89" s="162"/>
      <c r="I89" s="162"/>
    </row>
    <row r="90" spans="1:17" x14ac:dyDescent="0.5">
      <c r="A90" s="46" t="s">
        <v>18</v>
      </c>
      <c r="B90" s="32">
        <v>23</v>
      </c>
      <c r="C90" s="33">
        <v>48</v>
      </c>
      <c r="D90" s="35" t="s">
        <v>62</v>
      </c>
      <c r="F90" s="46" t="s">
        <v>18</v>
      </c>
      <c r="G90" s="32">
        <v>49</v>
      </c>
      <c r="H90" s="33">
        <v>45</v>
      </c>
      <c r="I90" s="35" t="s">
        <v>19</v>
      </c>
    </row>
    <row r="91" spans="1:17" x14ac:dyDescent="0.5">
      <c r="A91" s="46" t="s">
        <v>20</v>
      </c>
      <c r="B91" s="32">
        <v>45</v>
      </c>
      <c r="C91" s="33">
        <v>23</v>
      </c>
      <c r="D91" s="35" t="s">
        <v>63</v>
      </c>
      <c r="F91" s="46" t="s">
        <v>20</v>
      </c>
      <c r="G91" s="32">
        <v>0</v>
      </c>
      <c r="H91" s="33">
        <v>22</v>
      </c>
      <c r="I91" s="35" t="s">
        <v>21</v>
      </c>
    </row>
    <row r="93" spans="1:17" x14ac:dyDescent="0.5">
      <c r="A93" s="187" t="s">
        <v>99</v>
      </c>
      <c r="B93" s="187"/>
      <c r="C93" s="187"/>
      <c r="D93" s="187"/>
      <c r="F93" s="187" t="s">
        <v>99</v>
      </c>
      <c r="G93" s="187"/>
      <c r="H93" s="187"/>
      <c r="I93" s="187"/>
      <c r="K93" s="187" t="s">
        <v>50</v>
      </c>
      <c r="L93" s="187"/>
      <c r="M93" s="187"/>
      <c r="N93" s="187"/>
      <c r="O93" s="187"/>
      <c r="P93" s="187"/>
      <c r="Q93" s="187"/>
    </row>
    <row r="94" spans="1:17" x14ac:dyDescent="0.5">
      <c r="A94" s="46" t="s">
        <v>97</v>
      </c>
      <c r="B94" s="11" t="s">
        <v>100</v>
      </c>
      <c r="C94" s="187" t="s">
        <v>150</v>
      </c>
      <c r="D94" s="187"/>
      <c r="F94" s="46" t="s">
        <v>97</v>
      </c>
      <c r="G94" s="11" t="s">
        <v>100</v>
      </c>
      <c r="H94" s="187" t="s">
        <v>150</v>
      </c>
      <c r="I94" s="187"/>
      <c r="K94" s="187" t="s">
        <v>97</v>
      </c>
      <c r="L94" s="187"/>
      <c r="M94" s="18" t="s">
        <v>37</v>
      </c>
      <c r="N94" s="195" t="s">
        <v>38</v>
      </c>
      <c r="O94" s="196"/>
      <c r="P94" s="197"/>
      <c r="Q94" s="12" t="s">
        <v>12</v>
      </c>
    </row>
    <row r="95" spans="1:17" x14ac:dyDescent="0.5">
      <c r="A95" s="11" t="s">
        <v>40</v>
      </c>
      <c r="B95" s="57"/>
      <c r="C95" s="188"/>
      <c r="D95" s="188"/>
      <c r="F95" s="11" t="s">
        <v>40</v>
      </c>
      <c r="G95" s="57"/>
      <c r="H95" s="188"/>
      <c r="I95" s="188"/>
      <c r="K95" s="193" t="s">
        <v>40</v>
      </c>
      <c r="L95" s="193"/>
      <c r="M95" s="41">
        <f t="shared" ref="M95:N98" si="7">G95-B95</f>
        <v>0</v>
      </c>
      <c r="N95" s="42">
        <f t="shared" si="7"/>
        <v>0</v>
      </c>
      <c r="O95" s="43">
        <f>(N95)/1000</f>
        <v>0</v>
      </c>
      <c r="P95" s="44">
        <f>N95/1000*P86</f>
        <v>0</v>
      </c>
      <c r="Q95" s="194">
        <f>P95+P96</f>
        <v>0</v>
      </c>
    </row>
    <row r="96" spans="1:17" x14ac:dyDescent="0.5">
      <c r="A96" s="11" t="s">
        <v>41</v>
      </c>
      <c r="B96" s="57"/>
      <c r="C96" s="188"/>
      <c r="D96" s="188"/>
      <c r="F96" s="11" t="s">
        <v>41</v>
      </c>
      <c r="G96" s="57"/>
      <c r="H96" s="188"/>
      <c r="I96" s="188"/>
      <c r="K96" s="193" t="s">
        <v>41</v>
      </c>
      <c r="L96" s="193"/>
      <c r="M96" s="41">
        <f t="shared" si="7"/>
        <v>0</v>
      </c>
      <c r="N96" s="42">
        <f t="shared" si="7"/>
        <v>0</v>
      </c>
      <c r="O96" s="43">
        <f>(N96)/1000</f>
        <v>0</v>
      </c>
      <c r="P96" s="44">
        <f>N96/1000*P86</f>
        <v>0</v>
      </c>
      <c r="Q96" s="194"/>
    </row>
    <row r="97" spans="1:17" x14ac:dyDescent="0.5">
      <c r="A97" s="11" t="s">
        <v>42</v>
      </c>
      <c r="B97" s="57"/>
      <c r="C97" s="188"/>
      <c r="D97" s="188"/>
      <c r="F97" s="11" t="s">
        <v>42</v>
      </c>
      <c r="G97" s="57"/>
      <c r="H97" s="188"/>
      <c r="I97" s="188"/>
      <c r="K97" s="193" t="s">
        <v>42</v>
      </c>
      <c r="L97" s="193"/>
      <c r="M97" s="41">
        <f t="shared" si="7"/>
        <v>0</v>
      </c>
      <c r="N97" s="42">
        <f t="shared" si="7"/>
        <v>0</v>
      </c>
      <c r="O97" s="43">
        <f>(N97)/1000</f>
        <v>0</v>
      </c>
      <c r="P97" s="44">
        <f>N97/1000*P86</f>
        <v>0</v>
      </c>
      <c r="Q97" s="194">
        <f>P97+P98</f>
        <v>0</v>
      </c>
    </row>
    <row r="98" spans="1:17" x14ac:dyDescent="0.5">
      <c r="A98" s="11" t="s">
        <v>43</v>
      </c>
      <c r="B98" s="57"/>
      <c r="C98" s="188"/>
      <c r="D98" s="188"/>
      <c r="F98" s="11" t="s">
        <v>43</v>
      </c>
      <c r="G98" s="57"/>
      <c r="H98" s="188"/>
      <c r="I98" s="188"/>
      <c r="K98" s="193" t="s">
        <v>43</v>
      </c>
      <c r="L98" s="193"/>
      <c r="M98" s="41">
        <f t="shared" si="7"/>
        <v>0</v>
      </c>
      <c r="N98" s="42">
        <f t="shared" si="7"/>
        <v>0</v>
      </c>
      <c r="O98" s="43">
        <f>(N98)/1000</f>
        <v>0</v>
      </c>
      <c r="P98" s="44">
        <f>N98/1000*P86</f>
        <v>0</v>
      </c>
      <c r="Q98" s="194"/>
    </row>
    <row r="99" spans="1:17" ht="16.149999999999999" thickBot="1" x14ac:dyDescent="0.55000000000000004">
      <c r="G99" s="4"/>
    </row>
    <row r="100" spans="1:17" ht="18.399999999999999" thickBot="1" x14ac:dyDescent="0.6">
      <c r="A100" s="184" t="s">
        <v>143</v>
      </c>
      <c r="B100" s="185"/>
      <c r="C100" s="185"/>
      <c r="D100" s="185"/>
      <c r="E100" s="185"/>
      <c r="F100" s="185"/>
      <c r="G100" s="185"/>
      <c r="H100" s="185"/>
      <c r="I100" s="185"/>
      <c r="J100" s="185"/>
      <c r="K100" s="185"/>
      <c r="L100" s="185"/>
      <c r="M100" s="185"/>
      <c r="N100" s="185"/>
      <c r="O100" s="185"/>
      <c r="P100" s="185"/>
      <c r="Q100" s="186"/>
    </row>
    <row r="101" spans="1:17" x14ac:dyDescent="0.5">
      <c r="G101" s="4"/>
    </row>
    <row r="102" spans="1:17" x14ac:dyDescent="0.5">
      <c r="A102" s="187" t="s">
        <v>139</v>
      </c>
      <c r="B102" s="187"/>
      <c r="C102" s="187"/>
      <c r="D102" s="187"/>
      <c r="F102" s="187" t="s">
        <v>140</v>
      </c>
      <c r="G102" s="187"/>
      <c r="H102" s="187"/>
      <c r="I102" s="187"/>
      <c r="K102" s="187" t="s">
        <v>98</v>
      </c>
      <c r="L102" s="187"/>
      <c r="M102" s="187"/>
      <c r="N102" s="187"/>
      <c r="O102" s="187"/>
      <c r="P102" s="189">
        <f>((G105+G106)-(B105+B106))*24</f>
        <v>1423.6333333334187</v>
      </c>
      <c r="Q102" s="190"/>
    </row>
    <row r="103" spans="1:17" x14ac:dyDescent="0.5">
      <c r="A103" s="46" t="s">
        <v>8</v>
      </c>
      <c r="B103" s="56">
        <v>46006</v>
      </c>
      <c r="C103" s="160" t="s">
        <v>76</v>
      </c>
      <c r="D103" s="160"/>
      <c r="F103" s="46" t="s">
        <v>8</v>
      </c>
      <c r="G103" s="56">
        <v>46036</v>
      </c>
      <c r="H103" s="160" t="s">
        <v>78</v>
      </c>
      <c r="I103" s="160"/>
      <c r="K103" s="187" t="s">
        <v>101</v>
      </c>
      <c r="L103" s="187"/>
      <c r="M103" s="187"/>
      <c r="N103" s="187"/>
      <c r="O103" s="187"/>
      <c r="P103" s="191"/>
      <c r="Q103" s="192"/>
    </row>
    <row r="104" spans="1:17" x14ac:dyDescent="0.5">
      <c r="A104" s="46" t="s">
        <v>13</v>
      </c>
      <c r="B104" s="9">
        <v>0.52847222222222223</v>
      </c>
      <c r="C104" s="160"/>
      <c r="D104" s="160"/>
      <c r="F104" s="46" t="s">
        <v>13</v>
      </c>
      <c r="G104" s="9">
        <v>0.35416666666666669</v>
      </c>
      <c r="H104" s="160"/>
      <c r="I104" s="160"/>
    </row>
    <row r="105" spans="1:17" x14ac:dyDescent="0.5">
      <c r="A105" s="46" t="s">
        <v>153</v>
      </c>
      <c r="B105" s="87">
        <f>B103+B104-(MID(C103,4,LEN(C103)-3)/24)</f>
        <v>46006.65347222222</v>
      </c>
      <c r="C105" s="162" t="s">
        <v>16</v>
      </c>
      <c r="D105" s="162"/>
      <c r="F105" s="46" t="s">
        <v>153</v>
      </c>
      <c r="G105" s="87">
        <f>G103+G104-(MID(H103,4,LEN(H103)-3)/24)</f>
        <v>46036.3125</v>
      </c>
      <c r="H105" s="162" t="s">
        <v>16</v>
      </c>
      <c r="I105" s="162"/>
    </row>
    <row r="106" spans="1:17" x14ac:dyDescent="0.5">
      <c r="A106" s="46" t="s">
        <v>154</v>
      </c>
      <c r="B106" s="97">
        <f>B103+B104-(MID(C103,4,LEN(C103)-3)/24)</f>
        <v>46006.65347222222</v>
      </c>
      <c r="C106" s="162"/>
      <c r="D106" s="162"/>
      <c r="F106" s="46" t="s">
        <v>154</v>
      </c>
      <c r="G106" s="97">
        <f>G103+G104-(MID(H103,4,LEN(H103)-3)/24)</f>
        <v>46036.3125</v>
      </c>
      <c r="H106" s="162"/>
      <c r="I106" s="162"/>
    </row>
    <row r="107" spans="1:17" x14ac:dyDescent="0.5">
      <c r="A107" s="46" t="s">
        <v>18</v>
      </c>
      <c r="B107" s="32">
        <v>23</v>
      </c>
      <c r="C107" s="33">
        <v>48</v>
      </c>
      <c r="D107" s="35" t="s">
        <v>62</v>
      </c>
      <c r="F107" s="46" t="s">
        <v>18</v>
      </c>
      <c r="G107" s="32">
        <v>49</v>
      </c>
      <c r="H107" s="33">
        <v>45</v>
      </c>
      <c r="I107" s="35" t="s">
        <v>19</v>
      </c>
    </row>
    <row r="108" spans="1:17" x14ac:dyDescent="0.5">
      <c r="A108" s="46" t="s">
        <v>20</v>
      </c>
      <c r="B108" s="32">
        <v>45</v>
      </c>
      <c r="C108" s="33">
        <v>23</v>
      </c>
      <c r="D108" s="35" t="s">
        <v>63</v>
      </c>
      <c r="F108" s="46" t="s">
        <v>20</v>
      </c>
      <c r="G108" s="32">
        <v>0</v>
      </c>
      <c r="H108" s="33">
        <v>22</v>
      </c>
      <c r="I108" s="35" t="s">
        <v>21</v>
      </c>
    </row>
    <row r="110" spans="1:17" x14ac:dyDescent="0.5">
      <c r="A110" s="187" t="s">
        <v>99</v>
      </c>
      <c r="B110" s="187"/>
      <c r="C110" s="187"/>
      <c r="D110" s="187"/>
      <c r="F110" s="187" t="s">
        <v>99</v>
      </c>
      <c r="G110" s="187"/>
      <c r="H110" s="187"/>
      <c r="I110" s="187"/>
      <c r="K110" s="187" t="s">
        <v>51</v>
      </c>
      <c r="L110" s="187"/>
      <c r="M110" s="187"/>
      <c r="N110" s="187"/>
      <c r="O110" s="187"/>
      <c r="P110" s="187"/>
      <c r="Q110" s="187"/>
    </row>
    <row r="111" spans="1:17" x14ac:dyDescent="0.5">
      <c r="A111" s="46" t="s">
        <v>97</v>
      </c>
      <c r="B111" s="11" t="s">
        <v>100</v>
      </c>
      <c r="C111" s="187" t="s">
        <v>150</v>
      </c>
      <c r="D111" s="187"/>
      <c r="F111" s="46" t="s">
        <v>97</v>
      </c>
      <c r="G111" s="11" t="s">
        <v>100</v>
      </c>
      <c r="H111" s="187" t="s">
        <v>150</v>
      </c>
      <c r="I111" s="187"/>
      <c r="K111" s="187" t="s">
        <v>97</v>
      </c>
      <c r="L111" s="187"/>
      <c r="M111" s="18" t="s">
        <v>37</v>
      </c>
      <c r="N111" s="195" t="s">
        <v>38</v>
      </c>
      <c r="O111" s="196"/>
      <c r="P111" s="197"/>
      <c r="Q111" s="12" t="s">
        <v>12</v>
      </c>
    </row>
    <row r="112" spans="1:17" x14ac:dyDescent="0.5">
      <c r="A112" s="11" t="s">
        <v>40</v>
      </c>
      <c r="B112" s="57"/>
      <c r="C112" s="188"/>
      <c r="D112" s="188"/>
      <c r="F112" s="11" t="s">
        <v>40</v>
      </c>
      <c r="G112" s="57"/>
      <c r="H112" s="188"/>
      <c r="I112" s="188"/>
      <c r="K112" s="193" t="s">
        <v>40</v>
      </c>
      <c r="L112" s="193"/>
      <c r="M112" s="41">
        <f t="shared" ref="M112:N115" si="8">G112-B112</f>
        <v>0</v>
      </c>
      <c r="N112" s="42">
        <f t="shared" si="8"/>
        <v>0</v>
      </c>
      <c r="O112" s="43">
        <f>(N112)/1000</f>
        <v>0</v>
      </c>
      <c r="P112" s="44">
        <f>N112/1000*P103</f>
        <v>0</v>
      </c>
      <c r="Q112" s="194">
        <f>P112+P113</f>
        <v>0</v>
      </c>
    </row>
    <row r="113" spans="1:17" x14ac:dyDescent="0.5">
      <c r="A113" s="11" t="s">
        <v>41</v>
      </c>
      <c r="B113" s="57"/>
      <c r="C113" s="188"/>
      <c r="D113" s="188"/>
      <c r="F113" s="11" t="s">
        <v>41</v>
      </c>
      <c r="G113" s="57"/>
      <c r="H113" s="188"/>
      <c r="I113" s="188"/>
      <c r="K113" s="193" t="s">
        <v>41</v>
      </c>
      <c r="L113" s="193"/>
      <c r="M113" s="41">
        <f t="shared" si="8"/>
        <v>0</v>
      </c>
      <c r="N113" s="42">
        <f t="shared" si="8"/>
        <v>0</v>
      </c>
      <c r="O113" s="43">
        <f t="shared" ref="O113:O115" si="9">(N113)/1000</f>
        <v>0</v>
      </c>
      <c r="P113" s="44">
        <f>N113/1000*P103</f>
        <v>0</v>
      </c>
      <c r="Q113" s="194"/>
    </row>
    <row r="114" spans="1:17" x14ac:dyDescent="0.5">
      <c r="A114" s="11" t="s">
        <v>42</v>
      </c>
      <c r="B114" s="57"/>
      <c r="C114" s="188"/>
      <c r="D114" s="188"/>
      <c r="F114" s="11" t="s">
        <v>42</v>
      </c>
      <c r="G114" s="57"/>
      <c r="H114" s="188"/>
      <c r="I114" s="188"/>
      <c r="K114" s="193" t="s">
        <v>42</v>
      </c>
      <c r="L114" s="193"/>
      <c r="M114" s="41">
        <f t="shared" si="8"/>
        <v>0</v>
      </c>
      <c r="N114" s="42">
        <f t="shared" si="8"/>
        <v>0</v>
      </c>
      <c r="O114" s="43">
        <f t="shared" si="9"/>
        <v>0</v>
      </c>
      <c r="P114" s="44">
        <f>N114/1000*P103</f>
        <v>0</v>
      </c>
      <c r="Q114" s="194">
        <f>P114+P115</f>
        <v>0</v>
      </c>
    </row>
    <row r="115" spans="1:17" x14ac:dyDescent="0.5">
      <c r="A115" s="11" t="s">
        <v>43</v>
      </c>
      <c r="B115" s="57"/>
      <c r="C115" s="188"/>
      <c r="D115" s="188"/>
      <c r="F115" s="11" t="s">
        <v>43</v>
      </c>
      <c r="G115" s="57"/>
      <c r="H115" s="188"/>
      <c r="I115" s="188"/>
      <c r="K115" s="193" t="s">
        <v>43</v>
      </c>
      <c r="L115" s="193"/>
      <c r="M115" s="41">
        <f t="shared" si="8"/>
        <v>0</v>
      </c>
      <c r="N115" s="42">
        <f t="shared" si="8"/>
        <v>0</v>
      </c>
      <c r="O115" s="43">
        <f t="shared" si="9"/>
        <v>0</v>
      </c>
      <c r="P115" s="44">
        <f>N115/1000*P103</f>
        <v>0</v>
      </c>
      <c r="Q115" s="194"/>
    </row>
    <row r="116" spans="1:17" ht="15" customHeight="1" thickBot="1" x14ac:dyDescent="0.55000000000000004">
      <c r="M116" s="19"/>
    </row>
    <row r="117" spans="1:17" ht="15" customHeight="1" thickBot="1" x14ac:dyDescent="0.6">
      <c r="A117" s="184" t="s">
        <v>144</v>
      </c>
      <c r="B117" s="185"/>
      <c r="C117" s="185"/>
      <c r="D117" s="185"/>
      <c r="E117" s="185"/>
      <c r="F117" s="185"/>
      <c r="G117" s="185"/>
      <c r="H117" s="185"/>
      <c r="I117" s="185"/>
      <c r="J117" s="185"/>
      <c r="K117" s="185"/>
      <c r="L117" s="185"/>
      <c r="M117" s="185"/>
      <c r="N117" s="185"/>
      <c r="O117" s="185"/>
      <c r="P117" s="185"/>
      <c r="Q117" s="186"/>
    </row>
    <row r="118" spans="1:17" ht="15" customHeight="1" x14ac:dyDescent="0.5">
      <c r="M118" s="19"/>
    </row>
    <row r="119" spans="1:17" x14ac:dyDescent="0.5">
      <c r="A119" s="187" t="s">
        <v>139</v>
      </c>
      <c r="B119" s="187"/>
      <c r="C119" s="187"/>
      <c r="D119" s="187"/>
      <c r="F119" s="187" t="s">
        <v>140</v>
      </c>
      <c r="G119" s="187"/>
      <c r="H119" s="187"/>
      <c r="I119" s="187"/>
      <c r="K119" s="187" t="s">
        <v>98</v>
      </c>
      <c r="L119" s="187"/>
      <c r="M119" s="187"/>
      <c r="N119" s="187"/>
      <c r="O119" s="187"/>
      <c r="P119" s="189">
        <f>((G122+G123)-(B122+B123))*24</f>
        <v>1423.6333333334187</v>
      </c>
      <c r="Q119" s="190"/>
    </row>
    <row r="120" spans="1:17" x14ac:dyDescent="0.5">
      <c r="A120" s="46" t="s">
        <v>8</v>
      </c>
      <c r="B120" s="56">
        <v>46006</v>
      </c>
      <c r="C120" s="160" t="s">
        <v>76</v>
      </c>
      <c r="D120" s="160"/>
      <c r="F120" s="46" t="s">
        <v>8</v>
      </c>
      <c r="G120" s="56">
        <v>46036</v>
      </c>
      <c r="H120" s="160" t="s">
        <v>78</v>
      </c>
      <c r="I120" s="160"/>
      <c r="K120" s="187" t="s">
        <v>101</v>
      </c>
      <c r="L120" s="187"/>
      <c r="M120" s="187"/>
      <c r="N120" s="187"/>
      <c r="O120" s="187"/>
      <c r="P120" s="191"/>
      <c r="Q120" s="192"/>
    </row>
    <row r="121" spans="1:17" x14ac:dyDescent="0.5">
      <c r="A121" s="46" t="s">
        <v>13</v>
      </c>
      <c r="B121" s="9">
        <v>0.52847222222222223</v>
      </c>
      <c r="C121" s="160"/>
      <c r="D121" s="160"/>
      <c r="F121" s="46" t="s">
        <v>13</v>
      </c>
      <c r="G121" s="9">
        <v>0.35416666666666669</v>
      </c>
      <c r="H121" s="160"/>
      <c r="I121" s="160"/>
    </row>
    <row r="122" spans="1:17" x14ac:dyDescent="0.5">
      <c r="A122" s="46" t="s">
        <v>153</v>
      </c>
      <c r="B122" s="87">
        <f>B120+B121-(MID(C120,4,LEN(C120)-3)/24)</f>
        <v>46006.65347222222</v>
      </c>
      <c r="C122" s="162" t="s">
        <v>16</v>
      </c>
      <c r="D122" s="162"/>
      <c r="F122" s="46" t="s">
        <v>153</v>
      </c>
      <c r="G122" s="87">
        <f>G120+G121-(MID(H120,4,LEN(H120)-3)/24)</f>
        <v>46036.3125</v>
      </c>
      <c r="H122" s="162" t="s">
        <v>16</v>
      </c>
      <c r="I122" s="162"/>
    </row>
    <row r="123" spans="1:17" x14ac:dyDescent="0.5">
      <c r="A123" s="46" t="s">
        <v>154</v>
      </c>
      <c r="B123" s="97">
        <f>B120+B121-(MID(C120,4,LEN(C120)-3)/24)</f>
        <v>46006.65347222222</v>
      </c>
      <c r="C123" s="162"/>
      <c r="D123" s="162"/>
      <c r="F123" s="46" t="s">
        <v>154</v>
      </c>
      <c r="G123" s="97">
        <f>G120+G121-(MID(H120,4,LEN(H120)-3)/24)</f>
        <v>46036.3125</v>
      </c>
      <c r="H123" s="162"/>
      <c r="I123" s="162"/>
    </row>
    <row r="124" spans="1:17" x14ac:dyDescent="0.5">
      <c r="A124" s="46" t="s">
        <v>18</v>
      </c>
      <c r="B124" s="32">
        <v>23</v>
      </c>
      <c r="C124" s="33">
        <v>48</v>
      </c>
      <c r="D124" s="35" t="s">
        <v>62</v>
      </c>
      <c r="F124" s="46" t="s">
        <v>18</v>
      </c>
      <c r="G124" s="32">
        <v>49</v>
      </c>
      <c r="H124" s="33">
        <v>45</v>
      </c>
      <c r="I124" s="35" t="s">
        <v>19</v>
      </c>
    </row>
    <row r="125" spans="1:17" x14ac:dyDescent="0.5">
      <c r="A125" s="46" t="s">
        <v>20</v>
      </c>
      <c r="B125" s="32">
        <v>45</v>
      </c>
      <c r="C125" s="33">
        <v>23</v>
      </c>
      <c r="D125" s="35" t="s">
        <v>63</v>
      </c>
      <c r="F125" s="46" t="s">
        <v>20</v>
      </c>
      <c r="G125" s="32">
        <v>0</v>
      </c>
      <c r="H125" s="33">
        <v>22</v>
      </c>
      <c r="I125" s="35" t="s">
        <v>21</v>
      </c>
    </row>
    <row r="127" spans="1:17" x14ac:dyDescent="0.5">
      <c r="A127" s="187" t="s">
        <v>99</v>
      </c>
      <c r="B127" s="187"/>
      <c r="C127" s="187"/>
      <c r="D127" s="187"/>
      <c r="F127" s="187" t="s">
        <v>99</v>
      </c>
      <c r="G127" s="187"/>
      <c r="H127" s="187"/>
      <c r="I127" s="187"/>
      <c r="K127" s="187" t="s">
        <v>52</v>
      </c>
      <c r="L127" s="187"/>
      <c r="M127" s="187"/>
      <c r="N127" s="187"/>
      <c r="O127" s="187"/>
      <c r="P127" s="187"/>
      <c r="Q127" s="187"/>
    </row>
    <row r="128" spans="1:17" x14ac:dyDescent="0.5">
      <c r="A128" s="46" t="s">
        <v>97</v>
      </c>
      <c r="B128" s="11" t="s">
        <v>100</v>
      </c>
      <c r="C128" s="187" t="s">
        <v>150</v>
      </c>
      <c r="D128" s="187"/>
      <c r="F128" s="46" t="s">
        <v>97</v>
      </c>
      <c r="G128" s="11" t="s">
        <v>100</v>
      </c>
      <c r="H128" s="187" t="s">
        <v>150</v>
      </c>
      <c r="I128" s="187"/>
      <c r="K128" s="187" t="s">
        <v>97</v>
      </c>
      <c r="L128" s="187"/>
      <c r="M128" s="18" t="s">
        <v>37</v>
      </c>
      <c r="N128" s="195" t="s">
        <v>38</v>
      </c>
      <c r="O128" s="196"/>
      <c r="P128" s="197"/>
      <c r="Q128" s="12" t="s">
        <v>12</v>
      </c>
    </row>
    <row r="129" spans="1:18" x14ac:dyDescent="0.5">
      <c r="A129" s="11" t="s">
        <v>40</v>
      </c>
      <c r="B129" s="57"/>
      <c r="C129" s="188"/>
      <c r="D129" s="188"/>
      <c r="F129" s="11" t="s">
        <v>40</v>
      </c>
      <c r="G129" s="57"/>
      <c r="H129" s="188"/>
      <c r="I129" s="188"/>
      <c r="K129" s="193" t="s">
        <v>40</v>
      </c>
      <c r="L129" s="193"/>
      <c r="M129" s="41">
        <f t="shared" ref="M129:N132" si="10">G129-B129</f>
        <v>0</v>
      </c>
      <c r="N129" s="42">
        <f t="shared" si="10"/>
        <v>0</v>
      </c>
      <c r="O129" s="43">
        <f>(N129)/1000</f>
        <v>0</v>
      </c>
      <c r="P129" s="44">
        <f>N129/1000*P120</f>
        <v>0</v>
      </c>
      <c r="Q129" s="194">
        <f>P129+P130</f>
        <v>0</v>
      </c>
    </row>
    <row r="130" spans="1:18" x14ac:dyDescent="0.5">
      <c r="A130" s="11" t="s">
        <v>41</v>
      </c>
      <c r="B130" s="57"/>
      <c r="C130" s="188"/>
      <c r="D130" s="188"/>
      <c r="F130" s="11" t="s">
        <v>41</v>
      </c>
      <c r="G130" s="57"/>
      <c r="H130" s="188"/>
      <c r="I130" s="188"/>
      <c r="K130" s="193" t="s">
        <v>41</v>
      </c>
      <c r="L130" s="193"/>
      <c r="M130" s="41">
        <f t="shared" si="10"/>
        <v>0</v>
      </c>
      <c r="N130" s="42">
        <f t="shared" si="10"/>
        <v>0</v>
      </c>
      <c r="O130" s="43">
        <f t="shared" ref="O130:O132" si="11">(N130)/1000</f>
        <v>0</v>
      </c>
      <c r="P130" s="44">
        <f>N130/1000*P120</f>
        <v>0</v>
      </c>
      <c r="Q130" s="194"/>
    </row>
    <row r="131" spans="1:18" x14ac:dyDescent="0.5">
      <c r="A131" s="11" t="s">
        <v>42</v>
      </c>
      <c r="B131" s="57"/>
      <c r="C131" s="188"/>
      <c r="D131" s="188"/>
      <c r="F131" s="11" t="s">
        <v>42</v>
      </c>
      <c r="G131" s="57"/>
      <c r="H131" s="188"/>
      <c r="I131" s="188"/>
      <c r="K131" s="193" t="s">
        <v>42</v>
      </c>
      <c r="L131" s="193"/>
      <c r="M131" s="41">
        <f t="shared" si="10"/>
        <v>0</v>
      </c>
      <c r="N131" s="42">
        <f t="shared" si="10"/>
        <v>0</v>
      </c>
      <c r="O131" s="43">
        <f t="shared" si="11"/>
        <v>0</v>
      </c>
      <c r="P131" s="44">
        <f>N131/1000*P120</f>
        <v>0</v>
      </c>
      <c r="Q131" s="194">
        <f>P131+P132</f>
        <v>0</v>
      </c>
    </row>
    <row r="132" spans="1:18" x14ac:dyDescent="0.5">
      <c r="A132" s="11" t="s">
        <v>43</v>
      </c>
      <c r="B132" s="57"/>
      <c r="C132" s="188"/>
      <c r="D132" s="188"/>
      <c r="F132" s="11" t="s">
        <v>43</v>
      </c>
      <c r="G132" s="57"/>
      <c r="H132" s="188"/>
      <c r="I132" s="188"/>
      <c r="K132" s="193" t="s">
        <v>43</v>
      </c>
      <c r="L132" s="193"/>
      <c r="M132" s="41">
        <f t="shared" si="10"/>
        <v>0</v>
      </c>
      <c r="N132" s="42">
        <f t="shared" si="10"/>
        <v>0</v>
      </c>
      <c r="O132" s="43">
        <f t="shared" si="11"/>
        <v>0</v>
      </c>
      <c r="P132" s="44">
        <f>N132/1000*P120</f>
        <v>0</v>
      </c>
      <c r="Q132" s="194"/>
    </row>
    <row r="133" spans="1:18" ht="16.149999999999999" thickBot="1" x14ac:dyDescent="0.55000000000000004">
      <c r="G133" s="4"/>
    </row>
    <row r="134" spans="1:18" ht="21.4" thickBot="1" x14ac:dyDescent="0.55000000000000004">
      <c r="A134" s="276" t="s">
        <v>159</v>
      </c>
      <c r="B134" s="277"/>
      <c r="C134" s="277"/>
      <c r="D134" s="277"/>
      <c r="E134" s="277"/>
      <c r="F134" s="277"/>
      <c r="G134" s="277"/>
      <c r="H134" s="277"/>
      <c r="I134" s="277"/>
      <c r="J134" s="277"/>
      <c r="K134" s="277"/>
      <c r="L134" s="277"/>
      <c r="M134" s="277"/>
      <c r="N134" s="277"/>
      <c r="O134" s="277"/>
      <c r="P134" s="277"/>
      <c r="Q134" s="278"/>
    </row>
    <row r="135" spans="1:18" ht="16.149999999999999" thickBot="1" x14ac:dyDescent="0.55000000000000004"/>
    <row r="136" spans="1:18" ht="16.149999999999999" thickBot="1" x14ac:dyDescent="0.55000000000000004">
      <c r="A136" s="256" t="s">
        <v>183</v>
      </c>
      <c r="B136" s="257"/>
      <c r="C136" s="257"/>
      <c r="D136" s="257"/>
      <c r="E136" s="257"/>
      <c r="F136" s="257"/>
      <c r="G136" s="257"/>
      <c r="H136" s="257"/>
      <c r="I136" s="257"/>
      <c r="J136" s="257"/>
      <c r="K136" s="257"/>
      <c r="L136" s="257"/>
      <c r="M136" s="257"/>
      <c r="N136" s="257"/>
      <c r="O136" s="257"/>
      <c r="P136" s="257"/>
      <c r="Q136" s="258"/>
    </row>
    <row r="137" spans="1:18" x14ac:dyDescent="0.5">
      <c r="A137" s="279" t="s">
        <v>178</v>
      </c>
      <c r="B137" s="280"/>
      <c r="C137" s="280"/>
      <c r="D137" s="280"/>
      <c r="E137" s="280"/>
      <c r="F137" s="280"/>
      <c r="G137" s="280"/>
      <c r="H137" s="280"/>
      <c r="I137" s="280"/>
      <c r="J137" s="280"/>
      <c r="K137" s="280"/>
      <c r="L137" s="280"/>
      <c r="M137" s="280"/>
      <c r="N137" s="280"/>
      <c r="O137" s="280"/>
      <c r="P137" s="280"/>
      <c r="Q137" s="281"/>
    </row>
    <row r="138" spans="1:18" x14ac:dyDescent="0.5">
      <c r="A138" s="279" t="s">
        <v>179</v>
      </c>
      <c r="B138" s="280"/>
      <c r="C138" s="280"/>
      <c r="D138" s="280"/>
      <c r="E138" s="280"/>
      <c r="F138" s="280"/>
      <c r="G138" s="280"/>
      <c r="H138" s="280"/>
      <c r="I138" s="280"/>
      <c r="J138" s="280"/>
      <c r="K138" s="280"/>
      <c r="L138" s="280"/>
      <c r="M138" s="280"/>
      <c r="N138" s="280"/>
      <c r="O138" s="280"/>
      <c r="P138" s="280"/>
      <c r="Q138" s="281"/>
    </row>
    <row r="139" spans="1:18" x14ac:dyDescent="0.5">
      <c r="A139" s="279" t="s">
        <v>180</v>
      </c>
      <c r="B139" s="280"/>
      <c r="C139" s="280"/>
      <c r="D139" s="280"/>
      <c r="E139" s="280"/>
      <c r="F139" s="280"/>
      <c r="G139" s="280"/>
      <c r="H139" s="280"/>
      <c r="I139" s="280"/>
      <c r="J139" s="280"/>
      <c r="K139" s="280"/>
      <c r="L139" s="280"/>
      <c r="M139" s="280"/>
      <c r="N139" s="280"/>
      <c r="O139" s="280"/>
      <c r="P139" s="280"/>
      <c r="Q139" s="281"/>
    </row>
    <row r="140" spans="1:18" ht="16.149999999999999" thickBot="1" x14ac:dyDescent="0.55000000000000004">
      <c r="A140" s="282" t="s">
        <v>181</v>
      </c>
      <c r="B140" s="283"/>
      <c r="C140" s="283"/>
      <c r="D140" s="283"/>
      <c r="E140" s="283"/>
      <c r="F140" s="283"/>
      <c r="G140" s="283"/>
      <c r="H140" s="283"/>
      <c r="I140" s="283"/>
      <c r="J140" s="283"/>
      <c r="K140" s="283"/>
      <c r="L140" s="283"/>
      <c r="M140" s="283"/>
      <c r="N140" s="283"/>
      <c r="O140" s="283"/>
      <c r="P140" s="283"/>
      <c r="Q140" s="284"/>
    </row>
    <row r="141" spans="1:18" ht="16.149999999999999" thickBot="1" x14ac:dyDescent="0.55000000000000004"/>
    <row r="142" spans="1:18" s="106" customFormat="1" ht="31.5" x14ac:dyDescent="0.5">
      <c r="A142" s="103" t="s">
        <v>160</v>
      </c>
      <c r="B142" s="105" t="s">
        <v>161</v>
      </c>
      <c r="C142" s="104" t="s">
        <v>162</v>
      </c>
      <c r="D142" s="105" t="s">
        <v>184</v>
      </c>
      <c r="E142" s="105" t="s">
        <v>175</v>
      </c>
      <c r="F142" s="104" t="s">
        <v>176</v>
      </c>
      <c r="G142" s="285" t="s">
        <v>163</v>
      </c>
      <c r="H142" s="285"/>
      <c r="I142" s="285"/>
      <c r="J142" s="285"/>
      <c r="K142" s="285"/>
      <c r="L142" s="285"/>
      <c r="M142" s="285"/>
      <c r="N142" s="285"/>
      <c r="O142" s="285"/>
      <c r="P142" s="285"/>
      <c r="Q142" s="286"/>
    </row>
    <row r="143" spans="1:18" x14ac:dyDescent="0.5">
      <c r="A143" s="100" t="s">
        <v>164</v>
      </c>
      <c r="B143" s="98" t="s">
        <v>168</v>
      </c>
      <c r="C143" s="57"/>
      <c r="D143" s="107"/>
      <c r="E143" s="57"/>
      <c r="F143" s="57"/>
      <c r="G143" s="188"/>
      <c r="H143" s="188"/>
      <c r="I143" s="188"/>
      <c r="J143" s="188"/>
      <c r="K143" s="188"/>
      <c r="L143" s="188"/>
      <c r="M143" s="188"/>
      <c r="N143" s="188"/>
      <c r="O143" s="188"/>
      <c r="P143" s="188"/>
      <c r="Q143" s="253"/>
      <c r="R143" s="5"/>
    </row>
    <row r="144" spans="1:18" x14ac:dyDescent="0.5">
      <c r="A144" s="100" t="s">
        <v>186</v>
      </c>
      <c r="B144" s="98" t="s">
        <v>168</v>
      </c>
      <c r="C144" s="57"/>
      <c r="D144" s="107"/>
      <c r="E144" s="57"/>
      <c r="F144" s="57"/>
      <c r="G144" s="188"/>
      <c r="H144" s="188"/>
      <c r="I144" s="188"/>
      <c r="J144" s="188"/>
      <c r="K144" s="188"/>
      <c r="L144" s="188"/>
      <c r="M144" s="188"/>
      <c r="N144" s="188"/>
      <c r="O144" s="188"/>
      <c r="P144" s="188"/>
      <c r="Q144" s="253"/>
      <c r="R144" s="5"/>
    </row>
    <row r="145" spans="1:18" s="5" customFormat="1" x14ac:dyDescent="0.5">
      <c r="A145" s="101" t="s">
        <v>165</v>
      </c>
      <c r="B145" s="98" t="s">
        <v>168</v>
      </c>
      <c r="C145" s="108"/>
      <c r="D145" s="109"/>
      <c r="E145" s="108"/>
      <c r="F145" s="108"/>
      <c r="G145" s="188"/>
      <c r="H145" s="188"/>
      <c r="I145" s="188"/>
      <c r="J145" s="188"/>
      <c r="K145" s="188"/>
      <c r="L145" s="188"/>
      <c r="M145" s="188"/>
      <c r="N145" s="188"/>
      <c r="O145" s="188"/>
      <c r="P145" s="188"/>
      <c r="Q145" s="253"/>
      <c r="R145"/>
    </row>
    <row r="146" spans="1:18" s="5" customFormat="1" x14ac:dyDescent="0.5">
      <c r="A146" s="101" t="s">
        <v>187</v>
      </c>
      <c r="B146" s="98" t="s">
        <v>168</v>
      </c>
      <c r="C146" s="108"/>
      <c r="D146" s="109"/>
      <c r="E146" s="108"/>
      <c r="F146" s="108"/>
      <c r="G146" s="188"/>
      <c r="H146" s="188"/>
      <c r="I146" s="188"/>
      <c r="J146" s="188"/>
      <c r="K146" s="188"/>
      <c r="L146" s="188"/>
      <c r="M146" s="188"/>
      <c r="N146" s="188"/>
      <c r="O146" s="188"/>
      <c r="P146" s="188"/>
      <c r="Q146" s="253"/>
      <c r="R146"/>
    </row>
    <row r="147" spans="1:18" s="5" customFormat="1" x14ac:dyDescent="0.5">
      <c r="A147" s="101" t="s">
        <v>190</v>
      </c>
      <c r="B147" s="98" t="s">
        <v>168</v>
      </c>
      <c r="C147" s="108"/>
      <c r="D147" s="109"/>
      <c r="E147" s="108"/>
      <c r="F147" s="108"/>
      <c r="G147" s="188"/>
      <c r="H147" s="188"/>
      <c r="I147" s="188"/>
      <c r="J147" s="188"/>
      <c r="K147" s="188"/>
      <c r="L147" s="188"/>
      <c r="M147" s="188"/>
      <c r="N147" s="188"/>
      <c r="O147" s="188"/>
      <c r="P147" s="188"/>
      <c r="Q147" s="253"/>
      <c r="R147"/>
    </row>
    <row r="148" spans="1:18" s="5" customFormat="1" x14ac:dyDescent="0.5">
      <c r="A148" s="101" t="s">
        <v>191</v>
      </c>
      <c r="B148" s="98" t="s">
        <v>168</v>
      </c>
      <c r="C148" s="108"/>
      <c r="D148" s="109"/>
      <c r="E148" s="108"/>
      <c r="F148" s="108"/>
      <c r="G148" s="188"/>
      <c r="H148" s="188"/>
      <c r="I148" s="188"/>
      <c r="J148" s="188"/>
      <c r="K148" s="188"/>
      <c r="L148" s="188"/>
      <c r="M148" s="188"/>
      <c r="N148" s="188"/>
      <c r="O148" s="188"/>
      <c r="P148" s="188"/>
      <c r="Q148" s="253"/>
      <c r="R148"/>
    </row>
    <row r="149" spans="1:18" x14ac:dyDescent="0.5">
      <c r="A149" s="100" t="s">
        <v>185</v>
      </c>
      <c r="B149" s="98" t="s">
        <v>168</v>
      </c>
      <c r="C149" s="57"/>
      <c r="D149" s="107"/>
      <c r="E149" s="57"/>
      <c r="F149" s="57"/>
      <c r="G149" s="188"/>
      <c r="H149" s="188"/>
      <c r="I149" s="188"/>
      <c r="J149" s="188"/>
      <c r="K149" s="188"/>
      <c r="L149" s="188"/>
      <c r="M149" s="188"/>
      <c r="N149" s="188"/>
      <c r="O149" s="188"/>
      <c r="P149" s="188"/>
      <c r="Q149" s="253"/>
    </row>
    <row r="150" spans="1:18" x14ac:dyDescent="0.5">
      <c r="A150" s="100" t="s">
        <v>188</v>
      </c>
      <c r="B150" s="98" t="s">
        <v>168</v>
      </c>
      <c r="C150" s="57"/>
      <c r="D150" s="107"/>
      <c r="E150" s="57"/>
      <c r="F150" s="57"/>
      <c r="G150" s="188"/>
      <c r="H150" s="188"/>
      <c r="I150" s="188"/>
      <c r="J150" s="188"/>
      <c r="K150" s="188"/>
      <c r="L150" s="188"/>
      <c r="M150" s="188"/>
      <c r="N150" s="188"/>
      <c r="O150" s="188"/>
      <c r="P150" s="188"/>
      <c r="Q150" s="253"/>
    </row>
    <row r="151" spans="1:18" x14ac:dyDescent="0.5">
      <c r="A151" s="100" t="s">
        <v>166</v>
      </c>
      <c r="B151" s="98" t="s">
        <v>168</v>
      </c>
      <c r="C151" s="57"/>
      <c r="D151" s="107"/>
      <c r="E151" s="57"/>
      <c r="F151" s="57"/>
      <c r="G151" s="188"/>
      <c r="H151" s="188"/>
      <c r="I151" s="188"/>
      <c r="J151" s="188"/>
      <c r="K151" s="188"/>
      <c r="L151" s="188"/>
      <c r="M151" s="188"/>
      <c r="N151" s="188"/>
      <c r="O151" s="188"/>
      <c r="P151" s="188"/>
      <c r="Q151" s="253"/>
    </row>
    <row r="152" spans="1:18" x14ac:dyDescent="0.5">
      <c r="A152" s="100" t="s">
        <v>192</v>
      </c>
      <c r="B152" s="98" t="s">
        <v>168</v>
      </c>
      <c r="C152" s="57"/>
      <c r="D152" s="107"/>
      <c r="E152" s="57"/>
      <c r="F152" s="57"/>
      <c r="G152" s="188"/>
      <c r="H152" s="188"/>
      <c r="I152" s="188"/>
      <c r="J152" s="188"/>
      <c r="K152" s="188"/>
      <c r="L152" s="188"/>
      <c r="M152" s="188"/>
      <c r="N152" s="188"/>
      <c r="O152" s="188"/>
      <c r="P152" s="188"/>
      <c r="Q152" s="253"/>
    </row>
    <row r="153" spans="1:18" x14ac:dyDescent="0.5">
      <c r="A153" s="100" t="s">
        <v>167</v>
      </c>
      <c r="B153" s="98" t="s">
        <v>168</v>
      </c>
      <c r="C153" s="57"/>
      <c r="D153" s="107"/>
      <c r="E153" s="57"/>
      <c r="F153" s="57"/>
      <c r="G153" s="188"/>
      <c r="H153" s="188"/>
      <c r="I153" s="188"/>
      <c r="J153" s="188"/>
      <c r="K153" s="188"/>
      <c r="L153" s="188"/>
      <c r="M153" s="188"/>
      <c r="N153" s="188"/>
      <c r="O153" s="188"/>
      <c r="P153" s="188"/>
      <c r="Q153" s="253"/>
    </row>
    <row r="154" spans="1:18" x14ac:dyDescent="0.5">
      <c r="A154" s="100" t="s">
        <v>17</v>
      </c>
      <c r="B154" s="98" t="s">
        <v>169</v>
      </c>
      <c r="C154" s="57"/>
      <c r="D154" s="107"/>
      <c r="E154" s="57"/>
      <c r="F154" s="57"/>
      <c r="G154" s="188"/>
      <c r="H154" s="188"/>
      <c r="I154" s="188"/>
      <c r="J154" s="188"/>
      <c r="K154" s="188"/>
      <c r="L154" s="188"/>
      <c r="M154" s="188"/>
      <c r="N154" s="188"/>
      <c r="O154" s="188"/>
      <c r="P154" s="188"/>
      <c r="Q154" s="253"/>
    </row>
    <row r="155" spans="1:18" x14ac:dyDescent="0.5">
      <c r="A155" s="100" t="s">
        <v>22</v>
      </c>
      <c r="B155" s="98" t="s">
        <v>170</v>
      </c>
      <c r="C155" s="57"/>
      <c r="D155" s="107"/>
      <c r="E155" s="57"/>
      <c r="F155" s="57"/>
      <c r="G155" s="188"/>
      <c r="H155" s="188"/>
      <c r="I155" s="188"/>
      <c r="J155" s="188"/>
      <c r="K155" s="188"/>
      <c r="L155" s="188"/>
      <c r="M155" s="188"/>
      <c r="N155" s="188"/>
      <c r="O155" s="188"/>
      <c r="P155" s="188"/>
      <c r="Q155" s="253"/>
    </row>
    <row r="156" spans="1:18" x14ac:dyDescent="0.5">
      <c r="A156" s="100" t="s">
        <v>24</v>
      </c>
      <c r="B156" s="98" t="s">
        <v>182</v>
      </c>
      <c r="C156" s="57"/>
      <c r="D156" s="107"/>
      <c r="E156" s="57"/>
      <c r="F156" s="57"/>
      <c r="G156" s="188"/>
      <c r="H156" s="188"/>
      <c r="I156" s="188"/>
      <c r="J156" s="188"/>
      <c r="K156" s="188"/>
      <c r="L156" s="188"/>
      <c r="M156" s="188"/>
      <c r="N156" s="188"/>
      <c r="O156" s="188"/>
      <c r="P156" s="188"/>
      <c r="Q156" s="253"/>
    </row>
    <row r="157" spans="1:18" x14ac:dyDescent="0.5">
      <c r="A157" s="100" t="s">
        <v>171</v>
      </c>
      <c r="B157" s="98" t="s">
        <v>177</v>
      </c>
      <c r="C157" s="57"/>
      <c r="D157" s="107"/>
      <c r="E157" s="57"/>
      <c r="F157" s="57"/>
      <c r="G157" s="188"/>
      <c r="H157" s="188"/>
      <c r="I157" s="188"/>
      <c r="J157" s="188"/>
      <c r="K157" s="188"/>
      <c r="L157" s="188"/>
      <c r="M157" s="188"/>
      <c r="N157" s="188"/>
      <c r="O157" s="188"/>
      <c r="P157" s="188"/>
      <c r="Q157" s="253"/>
    </row>
    <row r="158" spans="1:18" x14ac:dyDescent="0.5">
      <c r="A158" s="100" t="s">
        <v>172</v>
      </c>
      <c r="B158" s="98" t="s">
        <v>177</v>
      </c>
      <c r="C158" s="57"/>
      <c r="D158" s="107"/>
      <c r="E158" s="57"/>
      <c r="F158" s="57"/>
      <c r="G158" s="188"/>
      <c r="H158" s="188"/>
      <c r="I158" s="188"/>
      <c r="J158" s="188"/>
      <c r="K158" s="188"/>
      <c r="L158" s="188"/>
      <c r="M158" s="188"/>
      <c r="N158" s="188"/>
      <c r="O158" s="188"/>
      <c r="P158" s="188"/>
      <c r="Q158" s="253"/>
    </row>
    <row r="159" spans="1:18" x14ac:dyDescent="0.5">
      <c r="A159" s="100" t="s">
        <v>173</v>
      </c>
      <c r="B159" s="98" t="s">
        <v>177</v>
      </c>
      <c r="C159" s="57"/>
      <c r="D159" s="107"/>
      <c r="E159" s="57"/>
      <c r="F159" s="57"/>
      <c r="G159" s="188"/>
      <c r="H159" s="188"/>
      <c r="I159" s="188"/>
      <c r="J159" s="188"/>
      <c r="K159" s="188"/>
      <c r="L159" s="188"/>
      <c r="M159" s="188"/>
      <c r="N159" s="188"/>
      <c r="O159" s="188"/>
      <c r="P159" s="188"/>
      <c r="Q159" s="253"/>
    </row>
    <row r="160" spans="1:18" x14ac:dyDescent="0.5">
      <c r="A160" s="287" t="s">
        <v>174</v>
      </c>
      <c r="B160" s="288" t="s">
        <v>177</v>
      </c>
      <c r="C160" s="289"/>
      <c r="D160" s="290"/>
      <c r="E160" s="289"/>
      <c r="F160" s="289"/>
      <c r="G160" s="188"/>
      <c r="H160" s="188"/>
      <c r="I160" s="188"/>
      <c r="J160" s="188"/>
      <c r="K160" s="188"/>
      <c r="L160" s="188"/>
      <c r="M160" s="188"/>
      <c r="N160" s="188"/>
      <c r="O160" s="188"/>
      <c r="P160" s="188"/>
      <c r="Q160" s="253"/>
    </row>
    <row r="161" spans="1:17" x14ac:dyDescent="0.5">
      <c r="A161" s="287" t="s">
        <v>171</v>
      </c>
      <c r="B161" s="288" t="s">
        <v>193</v>
      </c>
      <c r="C161" s="289"/>
      <c r="D161" s="290"/>
      <c r="E161" s="289"/>
      <c r="F161" s="289"/>
      <c r="G161" s="188"/>
      <c r="H161" s="188"/>
      <c r="I161" s="188"/>
      <c r="J161" s="188"/>
      <c r="K161" s="188"/>
      <c r="L161" s="188"/>
      <c r="M161" s="188"/>
      <c r="N161" s="188"/>
      <c r="O161" s="188"/>
      <c r="P161" s="188"/>
      <c r="Q161" s="253"/>
    </row>
    <row r="162" spans="1:17" ht="16.149999999999999" thickBot="1" x14ac:dyDescent="0.55000000000000004">
      <c r="A162" s="102" t="s">
        <v>172</v>
      </c>
      <c r="B162" s="99" t="s">
        <v>193</v>
      </c>
      <c r="C162" s="110"/>
      <c r="D162" s="111"/>
      <c r="E162" s="110"/>
      <c r="F162" s="110"/>
      <c r="G162" s="254"/>
      <c r="H162" s="254"/>
      <c r="I162" s="254"/>
      <c r="J162" s="254"/>
      <c r="K162" s="254"/>
      <c r="L162" s="254"/>
      <c r="M162" s="254"/>
      <c r="N162" s="254"/>
      <c r="O162" s="254"/>
      <c r="P162" s="254"/>
      <c r="Q162" s="255"/>
    </row>
    <row r="163" spans="1:17" ht="16.149999999999999" thickBot="1" x14ac:dyDescent="0.55000000000000004"/>
    <row r="164" spans="1:17" ht="16.149999999999999" thickBot="1" x14ac:dyDescent="0.55000000000000004">
      <c r="A164" s="256" t="s">
        <v>189</v>
      </c>
      <c r="B164" s="257"/>
      <c r="C164" s="257"/>
      <c r="D164" s="257"/>
      <c r="E164" s="257"/>
      <c r="F164" s="257"/>
      <c r="G164" s="257"/>
      <c r="H164" s="257"/>
      <c r="I164" s="257"/>
      <c r="J164" s="257"/>
      <c r="K164" s="257"/>
      <c r="L164" s="257"/>
      <c r="M164" s="257"/>
      <c r="N164" s="257"/>
      <c r="O164" s="257"/>
      <c r="P164" s="257"/>
      <c r="Q164" s="258"/>
    </row>
    <row r="165" spans="1:17" x14ac:dyDescent="0.5">
      <c r="A165" s="262"/>
      <c r="B165" s="263"/>
      <c r="C165" s="263"/>
      <c r="D165" s="263"/>
      <c r="E165" s="263"/>
      <c r="F165" s="263"/>
      <c r="G165" s="263"/>
      <c r="H165" s="263"/>
      <c r="I165" s="263"/>
      <c r="J165" s="263"/>
      <c r="K165" s="263"/>
      <c r="L165" s="263"/>
      <c r="M165" s="263"/>
      <c r="N165" s="263"/>
      <c r="O165" s="263"/>
      <c r="P165" s="263"/>
      <c r="Q165" s="264"/>
    </row>
    <row r="166" spans="1:17" x14ac:dyDescent="0.5">
      <c r="A166" s="265"/>
      <c r="B166" s="266"/>
      <c r="C166" s="266"/>
      <c r="D166" s="266"/>
      <c r="E166" s="266"/>
      <c r="F166" s="266"/>
      <c r="G166" s="266"/>
      <c r="H166" s="266"/>
      <c r="I166" s="266"/>
      <c r="J166" s="266"/>
      <c r="K166" s="266"/>
      <c r="L166" s="266"/>
      <c r="M166" s="266"/>
      <c r="N166" s="266"/>
      <c r="O166" s="266"/>
      <c r="P166" s="266"/>
      <c r="Q166" s="267"/>
    </row>
    <row r="167" spans="1:17" x14ac:dyDescent="0.5">
      <c r="A167" s="265"/>
      <c r="B167" s="266"/>
      <c r="C167" s="266"/>
      <c r="D167" s="266"/>
      <c r="E167" s="266"/>
      <c r="F167" s="266"/>
      <c r="G167" s="266"/>
      <c r="H167" s="266"/>
      <c r="I167" s="266"/>
      <c r="J167" s="266"/>
      <c r="K167" s="266"/>
      <c r="L167" s="266"/>
      <c r="M167" s="266"/>
      <c r="N167" s="266"/>
      <c r="O167" s="266"/>
      <c r="P167" s="266"/>
      <c r="Q167" s="267"/>
    </row>
    <row r="168" spans="1:17" ht="16.149999999999999" thickBot="1" x14ac:dyDescent="0.55000000000000004">
      <c r="A168" s="268"/>
      <c r="B168" s="269"/>
      <c r="C168" s="269"/>
      <c r="D168" s="269"/>
      <c r="E168" s="269"/>
      <c r="F168" s="269"/>
      <c r="G168" s="269"/>
      <c r="H168" s="269"/>
      <c r="I168" s="269"/>
      <c r="J168" s="269"/>
      <c r="K168" s="269"/>
      <c r="L168" s="269"/>
      <c r="M168" s="269"/>
      <c r="N168" s="269"/>
      <c r="O168" s="269"/>
      <c r="P168" s="269"/>
      <c r="Q168" s="270"/>
    </row>
  </sheetData>
  <dataConsolidate/>
  <mergeCells count="265">
    <mergeCell ref="G147:Q147"/>
    <mergeCell ref="G148:Q148"/>
    <mergeCell ref="G160:Q160"/>
    <mergeCell ref="G161:Q161"/>
    <mergeCell ref="G146:Q146"/>
    <mergeCell ref="G150:Q150"/>
    <mergeCell ref="G152:Q152"/>
    <mergeCell ref="A164:Q164"/>
    <mergeCell ref="A165:Q168"/>
    <mergeCell ref="K25:M25"/>
    <mergeCell ref="K26:M26"/>
    <mergeCell ref="K30:M30"/>
    <mergeCell ref="P12:Q12"/>
    <mergeCell ref="A134:Q134"/>
    <mergeCell ref="A137:Q137"/>
    <mergeCell ref="A138:Q138"/>
    <mergeCell ref="A139:Q139"/>
    <mergeCell ref="A140:Q140"/>
    <mergeCell ref="G143:Q143"/>
    <mergeCell ref="G142:Q142"/>
    <mergeCell ref="G145:Q145"/>
    <mergeCell ref="G149:Q149"/>
    <mergeCell ref="G151:Q151"/>
    <mergeCell ref="G153:Q153"/>
    <mergeCell ref="G154:Q154"/>
    <mergeCell ref="G155:Q155"/>
    <mergeCell ref="G156:Q156"/>
    <mergeCell ref="G157:Q157"/>
    <mergeCell ref="G158:Q158"/>
    <mergeCell ref="G159:Q159"/>
    <mergeCell ref="G162:Q162"/>
    <mergeCell ref="A136:Q136"/>
    <mergeCell ref="G144:Q144"/>
    <mergeCell ref="B49:C49"/>
    <mergeCell ref="K85:O85"/>
    <mergeCell ref="H95:I95"/>
    <mergeCell ref="H96:I96"/>
    <mergeCell ref="H97:I97"/>
    <mergeCell ref="H98:I98"/>
    <mergeCell ref="Q97:Q98"/>
    <mergeCell ref="Q95:Q96"/>
    <mergeCell ref="Q112:Q113"/>
    <mergeCell ref="Q114:Q115"/>
    <mergeCell ref="K97:L97"/>
    <mergeCell ref="K98:L98"/>
    <mergeCell ref="C81:D81"/>
    <mergeCell ref="H78:I78"/>
    <mergeCell ref="H79:I79"/>
    <mergeCell ref="H80:I80"/>
    <mergeCell ref="H81:I81"/>
    <mergeCell ref="C77:D77"/>
    <mergeCell ref="O59:O62"/>
    <mergeCell ref="N35:Q35"/>
    <mergeCell ref="N36:O36"/>
    <mergeCell ref="N37:O37"/>
    <mergeCell ref="D38:E38"/>
    <mergeCell ref="D37:E37"/>
    <mergeCell ref="D40:E40"/>
    <mergeCell ref="P36:Q36"/>
    <mergeCell ref="P37:Q37"/>
    <mergeCell ref="P38:Q38"/>
    <mergeCell ref="K37:L37"/>
    <mergeCell ref="K41:L41"/>
    <mergeCell ref="D41:E41"/>
    <mergeCell ref="H41:I41"/>
    <mergeCell ref="H35:J35"/>
    <mergeCell ref="F35:G35"/>
    <mergeCell ref="A42:B42"/>
    <mergeCell ref="K42:L42"/>
    <mergeCell ref="H42:I42"/>
    <mergeCell ref="H36:I36"/>
    <mergeCell ref="H37:I37"/>
    <mergeCell ref="H38:I38"/>
    <mergeCell ref="H39:I39"/>
    <mergeCell ref="H40:I40"/>
    <mergeCell ref="J49:O49"/>
    <mergeCell ref="O51:O52"/>
    <mergeCell ref="O53:O54"/>
    <mergeCell ref="K43:L43"/>
    <mergeCell ref="K38:L38"/>
    <mergeCell ref="N38:O38"/>
    <mergeCell ref="N39:O39"/>
    <mergeCell ref="N40:O40"/>
    <mergeCell ref="N43:O43"/>
    <mergeCell ref="N42:O42"/>
    <mergeCell ref="N41:O41"/>
    <mergeCell ref="O58:Q58"/>
    <mergeCell ref="L50:N50"/>
    <mergeCell ref="Q78:Q79"/>
    <mergeCell ref="A66:Q66"/>
    <mergeCell ref="C69:D70"/>
    <mergeCell ref="C71:D72"/>
    <mergeCell ref="A68:D68"/>
    <mergeCell ref="A76:D76"/>
    <mergeCell ref="F76:I76"/>
    <mergeCell ref="C78:D78"/>
    <mergeCell ref="C79:D79"/>
    <mergeCell ref="Q59:Q62"/>
    <mergeCell ref="P59:P60"/>
    <mergeCell ref="P61:P62"/>
    <mergeCell ref="J57:Q57"/>
    <mergeCell ref="N77:P77"/>
    <mergeCell ref="G57:H57"/>
    <mergeCell ref="C80:D80"/>
    <mergeCell ref="H77:I77"/>
    <mergeCell ref="F68:I68"/>
    <mergeCell ref="H69:I70"/>
    <mergeCell ref="H71:I72"/>
    <mergeCell ref="K76:Q76"/>
    <mergeCell ref="K77:L77"/>
    <mergeCell ref="K78:L78"/>
    <mergeCell ref="K79:L79"/>
    <mergeCell ref="K80:L80"/>
    <mergeCell ref="K68:O68"/>
    <mergeCell ref="P68:Q68"/>
    <mergeCell ref="K69:O69"/>
    <mergeCell ref="P69:Q69"/>
    <mergeCell ref="Q80:Q81"/>
    <mergeCell ref="K81:L81"/>
    <mergeCell ref="K94:L94"/>
    <mergeCell ref="K95:L95"/>
    <mergeCell ref="K96:L96"/>
    <mergeCell ref="P85:Q85"/>
    <mergeCell ref="P86:Q86"/>
    <mergeCell ref="K86:O86"/>
    <mergeCell ref="N94:P94"/>
    <mergeCell ref="F85:I85"/>
    <mergeCell ref="H86:I87"/>
    <mergeCell ref="H88:I89"/>
    <mergeCell ref="F93:I93"/>
    <mergeCell ref="H94:I94"/>
    <mergeCell ref="K93:Q93"/>
    <mergeCell ref="A83:Q83"/>
    <mergeCell ref="A102:D102"/>
    <mergeCell ref="F102:I102"/>
    <mergeCell ref="C103:D104"/>
    <mergeCell ref="H103:I104"/>
    <mergeCell ref="C105:D106"/>
    <mergeCell ref="H105:I106"/>
    <mergeCell ref="A110:D110"/>
    <mergeCell ref="F110:I110"/>
    <mergeCell ref="H112:I112"/>
    <mergeCell ref="A119:D119"/>
    <mergeCell ref="F119:I119"/>
    <mergeCell ref="C120:D121"/>
    <mergeCell ref="H120:I121"/>
    <mergeCell ref="C122:D123"/>
    <mergeCell ref="H122:I123"/>
    <mergeCell ref="A127:D127"/>
    <mergeCell ref="F127:I127"/>
    <mergeCell ref="C111:D111"/>
    <mergeCell ref="H111:I111"/>
    <mergeCell ref="C112:D112"/>
    <mergeCell ref="C113:D113"/>
    <mergeCell ref="H113:I113"/>
    <mergeCell ref="C114:D114"/>
    <mergeCell ref="H114:I114"/>
    <mergeCell ref="K115:L115"/>
    <mergeCell ref="K128:L128"/>
    <mergeCell ref="K129:L129"/>
    <mergeCell ref="K130:L130"/>
    <mergeCell ref="K131:L131"/>
    <mergeCell ref="Q129:Q130"/>
    <mergeCell ref="Q131:Q132"/>
    <mergeCell ref="N128:P128"/>
    <mergeCell ref="N111:P111"/>
    <mergeCell ref="K111:L111"/>
    <mergeCell ref="K112:L112"/>
    <mergeCell ref="K113:L113"/>
    <mergeCell ref="K114:L114"/>
    <mergeCell ref="C132:D132"/>
    <mergeCell ref="H132:I132"/>
    <mergeCell ref="K102:O102"/>
    <mergeCell ref="P102:Q102"/>
    <mergeCell ref="K103:O103"/>
    <mergeCell ref="P103:Q103"/>
    <mergeCell ref="K119:O119"/>
    <mergeCell ref="P119:Q119"/>
    <mergeCell ref="K120:O120"/>
    <mergeCell ref="P120:Q120"/>
    <mergeCell ref="C115:D115"/>
    <mergeCell ref="H115:I115"/>
    <mergeCell ref="C128:D128"/>
    <mergeCell ref="H128:I128"/>
    <mergeCell ref="C129:D129"/>
    <mergeCell ref="H129:I129"/>
    <mergeCell ref="C130:D130"/>
    <mergeCell ref="H130:I130"/>
    <mergeCell ref="C131:D131"/>
    <mergeCell ref="H131:I131"/>
    <mergeCell ref="K132:L132"/>
    <mergeCell ref="K110:Q110"/>
    <mergeCell ref="K127:Q127"/>
    <mergeCell ref="A117:Q117"/>
    <mergeCell ref="A100:Q100"/>
    <mergeCell ref="A85:D85"/>
    <mergeCell ref="C86:D87"/>
    <mergeCell ref="C88:D89"/>
    <mergeCell ref="A93:D93"/>
    <mergeCell ref="C94:D94"/>
    <mergeCell ref="C95:D95"/>
    <mergeCell ref="C96:D96"/>
    <mergeCell ref="C97:D97"/>
    <mergeCell ref="C98:D98"/>
    <mergeCell ref="P2:Q2"/>
    <mergeCell ref="O1:Q1"/>
    <mergeCell ref="A4:N4"/>
    <mergeCell ref="P4:Q4"/>
    <mergeCell ref="P7:Q7"/>
    <mergeCell ref="P8:Q8"/>
    <mergeCell ref="P10:Q10"/>
    <mergeCell ref="I9:J9"/>
    <mergeCell ref="I10:J10"/>
    <mergeCell ref="P9:Q9"/>
    <mergeCell ref="A1:N2"/>
    <mergeCell ref="B6:D6"/>
    <mergeCell ref="A8:A9"/>
    <mergeCell ref="F6:G6"/>
    <mergeCell ref="K6:N6"/>
    <mergeCell ref="A10:A11"/>
    <mergeCell ref="F15:G18"/>
    <mergeCell ref="F14:G14"/>
    <mergeCell ref="I8:J8"/>
    <mergeCell ref="A64:Q64"/>
    <mergeCell ref="A24:D24"/>
    <mergeCell ref="F24:I24"/>
    <mergeCell ref="K24:N24"/>
    <mergeCell ref="K29:N29"/>
    <mergeCell ref="I11:J11"/>
    <mergeCell ref="I12:J12"/>
    <mergeCell ref="I15:N18"/>
    <mergeCell ref="I14:N14"/>
    <mergeCell ref="F12:G12"/>
    <mergeCell ref="C25:D25"/>
    <mergeCell ref="C26:D27"/>
    <mergeCell ref="C28:D29"/>
    <mergeCell ref="H25:I25"/>
    <mergeCell ref="H26:I27"/>
    <mergeCell ref="H28:I29"/>
    <mergeCell ref="B57:C57"/>
    <mergeCell ref="L58:N58"/>
    <mergeCell ref="G22:I22"/>
    <mergeCell ref="C22:D22"/>
    <mergeCell ref="B13:D13"/>
    <mergeCell ref="P11:Q11"/>
    <mergeCell ref="A20:Q20"/>
    <mergeCell ref="A47:Q47"/>
    <mergeCell ref="C35:E35"/>
    <mergeCell ref="A44:B44"/>
    <mergeCell ref="A15:A16"/>
    <mergeCell ref="A17:A18"/>
    <mergeCell ref="D36:E36"/>
    <mergeCell ref="D39:E39"/>
    <mergeCell ref="K36:L36"/>
    <mergeCell ref="K39:L39"/>
    <mergeCell ref="K40:L40"/>
    <mergeCell ref="K31:M31"/>
    <mergeCell ref="K35:M35"/>
    <mergeCell ref="K27:M27"/>
    <mergeCell ref="H43:I43"/>
    <mergeCell ref="F43:G43"/>
    <mergeCell ref="A33:Q33"/>
    <mergeCell ref="P41:Q41"/>
    <mergeCell ref="P39:Q39"/>
    <mergeCell ref="P40:Q40"/>
  </mergeCells>
  <conditionalFormatting sqref="C44">
    <cfRule type="expression" dxfId="2" priority="52">
      <formula>$C$44-($D$17/$D$18)&lt;0.002</formula>
    </cfRule>
  </conditionalFormatting>
  <conditionalFormatting sqref="F41">
    <cfRule type="expression" dxfId="1" priority="42">
      <formula>$K$41=#REF!</formula>
    </cfRule>
  </conditionalFormatting>
  <conditionalFormatting sqref="K8">
    <cfRule type="expression" dxfId="0" priority="1">
      <formula>#REF!-$R$22-#REF!&lt;0.3</formula>
    </cfRule>
  </conditionalFormatting>
  <dataValidations xWindow="835" yWindow="415" count="10">
    <dataValidation allowBlank="1" showInputMessage="1" showErrorMessage="1" promptTitle="Engine running Hours" prompt="Running hours at the completion of the Noon report of the day._x000a_Data taken from each engine panel." sqref="G112:G115 G65 B78:B81 G78:G81 G59:G63 B65 K51:K54 K65:M65 B51:B54 B129:B132 M112:M115 L63:M63 K59:K63 B59:B63 G129:G132 O58 G48 M78:M81 G52:G54 B95:B98 G95:G98 M95:M98 B112:B115 M129:M132" xr:uid="{060EC8CD-5A0D-4F2E-B6CF-FB3B58C0FDDF}"/>
    <dataValidation allowBlank="1" showInputMessage="1" showErrorMessage="1" promptTitle="Consumption of engine" prompt="Volume consumed at completion of the Noon report of the day._x000a_Data taken from each engine panel." sqref="H52:H54 H65 C78:C81 H129:H132 H78:H81 H48 C51:C54 C95:C98 H95:H98 C112:C115 H112:H115 C129:C132 H59:H63 C59:C63 C65" xr:uid="{6D358468-2919-4C56-A477-1E981B7FCE7F}"/>
    <dataValidation allowBlank="1" showInputMessage="1" showErrorMessage="1" promptTitle="EU MRV - Cargo carried" prompt="For general cargo ships, cargo carried is deadweight carried for laden voyages and zero for ballast voyages. Deadweight carried equals displacement at departure minus lightweight and fuel on board (in tonnes)." sqref="N31" xr:uid="{631E7659-EF37-4562-B8A1-3C5F2D0699FC}"/>
    <dataValidation allowBlank="1" showErrorMessage="1" promptTitle="Time Zone" prompt="Select Time Zone" sqref="C28 H28" xr:uid="{EA36FE99-7478-4B97-A2DB-DEC3801ED547}"/>
    <dataValidation type="textLength" operator="equal" allowBlank="1" showInputMessage="1" showErrorMessage="1" promptTitle="PORT CODE" prompt="Please, provide port code (UN/LOCODE - 5 characters)" sqref="C25:D25 H25:I25" xr:uid="{B30FBAD3-19A2-4429-BD9C-CC1E28D97859}">
      <formula1>5</formula1>
    </dataValidation>
    <dataValidation allowBlank="1" showErrorMessage="1" promptTitle="Engine running Hours" prompt="Running hours at the completion of the Noon report of the day._x000a_Data taken from each engine panel." sqref="L59:M62 O59:Q62 L51:O54 N78:Q81 N95:Q98 N112:Q115 N129:Q132" xr:uid="{FA6327D6-14CB-4BE9-A072-60D187A3393D}"/>
    <dataValidation allowBlank="1" showErrorMessage="1" errorTitle="Date" error="Format Invalid" promptTitle="Date" prompt="DD/MM/YYYY" sqref="B28 G28 B71 G71 B88 G88 B105 G105 B122 G122" xr:uid="{6950100E-4A83-4858-A6D2-B71E95A5944E}"/>
    <dataValidation allowBlank="1" showInputMessage="1" showErrorMessage="1" errorTitle="Format not valid" error="HH:MM" promptTitle="Time" prompt="HH:MM" sqref="B29 G29 B72 G72 B89 G89 B106 G106 B123 G123" xr:uid="{10CA7E76-D191-4724-89C9-DA03ADF0A9EF}"/>
    <dataValidation type="textLength" operator="equal" allowBlank="1" showInputMessage="1" showErrorMessage="1" sqref="G22:I22" xr:uid="{931596B7-C1FB-4BC1-B5F8-D42D152EB0DC}">
      <formula1>7</formula1>
    </dataValidation>
    <dataValidation type="list" allowBlank="1" showInputMessage="1" showErrorMessage="1" sqref="C143:C162" xr:uid="{170A529A-43BC-40C4-89EE-5CB2AD3F68C5}">
      <formula1>"Conform,Corrected,Clarified,Under conformity"</formula1>
    </dataValidation>
  </dataValidations>
  <hyperlinks>
    <hyperlink ref="F12" r:id="rId1" xr:uid="{21C77CBB-02FF-4940-83A2-759A986C6558}"/>
  </hyperlinks>
  <printOptions horizontalCentered="1"/>
  <pageMargins left="0.70866141732283472" right="0.70866141732283472" top="0.74803149606299213" bottom="0.74803149606299213" header="0.31496062992125984" footer="0.31496062992125984"/>
  <pageSetup paperSize="9" scale="42" fitToHeight="0" orientation="landscape" horizontalDpi="4294967292" verticalDpi="1200" r:id="rId2"/>
  <rowBreaks count="2" manualBreakCount="2">
    <brk id="62" max="16383" man="1"/>
    <brk id="132" max="16383" man="1"/>
  </rowBreaks>
  <drawing r:id="rId3"/>
  <extLst>
    <ext xmlns:x14="http://schemas.microsoft.com/office/spreadsheetml/2009/9/main" uri="{CCE6A557-97BC-4b89-ADB6-D9C93CAAB3DF}">
      <x14:dataValidations xmlns:xm="http://schemas.microsoft.com/office/excel/2006/main" xWindow="835" yWindow="415" count="27">
        <x14:dataValidation type="list" allowBlank="1" showInputMessage="1" showErrorMessage="1" promptTitle="Time Zone" prompt="Select Time Zone" xr:uid="{C5964EAC-00EC-41E0-8668-0DD6451E997F}">
          <x14:formula1>
            <xm:f>Data!$G$1:$G$25</xm:f>
          </x14:formula1>
          <xm:sqref>C120 H26 H122 C105 C103 H103 H105 C88 C86 H86 H88 C71 C69 H69 H71 C122 C26 H120</xm:sqref>
        </x14:dataValidation>
        <x14:dataValidation type="decimal" operator="greaterThanOrEqual" showInputMessage="1" showErrorMessage="1" promptTitle="Distance" prompt="In nautical miles" xr:uid="{3F1A7DF5-349E-471A-A5DD-571AD39A19F9}">
          <x14:formula1>
            <xm:f>Data!$J$1</xm:f>
          </x14:formula1>
          <xm:sqref>N26</xm:sqref>
        </x14:dataValidation>
        <x14:dataValidation type="time" allowBlank="1" showInputMessage="1" showErrorMessage="1" errorTitle="Format not valid" error="HH:MM" promptTitle="Time" prompt="HH:MM" xr:uid="{FAFA06F1-CE95-4069-868F-37464020845D}">
          <x14:formula1>
            <xm:f>Data!$F$1</xm:f>
          </x14:formula1>
          <x14:formula2>
            <xm:f>Data!$F$2</xm:f>
          </x14:formula2>
          <xm:sqref>B121 G27 B27 G104 B87 G70 B70 G121 B104 G87</xm:sqref>
        </x14:dataValidation>
        <x14:dataValidation type="date" allowBlank="1" showInputMessage="1" showErrorMessage="1" errorTitle="Date" error="Format Invalid" promptTitle="Date" prompt="DD/MM/YYYY" xr:uid="{8989A270-E3EF-4084-9672-E72E5DEB3061}">
          <x14:formula1>
            <xm:f>Data!#REF!</xm:f>
          </x14:formula1>
          <x14:formula2>
            <xm:f>Data!#REF!</xm:f>
          </x14:formula2>
          <xm:sqref>B120 B103 B69 B26 B86</xm:sqref>
        </x14:dataValidation>
        <x14:dataValidation type="list" allowBlank="1" showInputMessage="1" showErrorMessage="1" xr:uid="{EB2DF37E-986B-47A2-8E04-7EAD93658022}">
          <x14:formula1>
            <xm:f>Data!$B$2:$B$9</xm:f>
          </x14:formula1>
          <xm:sqref>B22</xm:sqref>
        </x14:dataValidation>
        <x14:dataValidation type="decimal" allowBlank="1" showInputMessage="1" showErrorMessage="1" error="Not in normal range" promptTitle="Consumption" prompt="In MT" xr:uid="{05850DA7-6CE4-404F-AAFC-6D1BADDAB096}">
          <x14:formula1>
            <xm:f>Data!L47</xm:f>
          </x14:formula1>
          <x14:formula2>
            <xm:f>Data!L50</xm:f>
          </x14:formula2>
          <xm:sqref>E132 E113</xm:sqref>
        </x14:dataValidation>
        <x14:dataValidation type="decimal" allowBlank="1" showInputMessage="1" showErrorMessage="1" error="Not in normal range" promptTitle="Consumption" prompt="In MT" xr:uid="{D39E9E4A-8D4E-438F-94ED-27DB137BF6D8}">
          <x14:formula1>
            <xm:f>Data!L66</xm:f>
          </x14:formula1>
          <x14:formula2>
            <xm:f>Data!L69</xm:f>
          </x14:formula2>
          <xm:sqref>E131</xm:sqref>
        </x14:dataValidation>
        <x14:dataValidation type="decimal" allowBlank="1" showInputMessage="1" showErrorMessage="1" error="Not in normal range" promptTitle="Consumption " prompt="In MT" xr:uid="{BF7CA6EA-C54E-410A-8A0C-B44CE26B94D6}">
          <x14:formula1>
            <xm:f>Data!L66</xm:f>
          </x14:formula1>
          <x14:formula2>
            <xm:f>Data!L69</xm:f>
          </x14:formula2>
          <xm:sqref>E129</xm:sqref>
        </x14:dataValidation>
        <x14:dataValidation type="decimal" allowBlank="1" showInputMessage="1" showErrorMessage="1" error="Not in normal range" promptTitle="Consumption" prompt="In MT" xr:uid="{00EF8BCD-53D7-4731-8D2D-37DB5816511D}">
          <x14:formula1>
            <xm:f>Data!L66</xm:f>
          </x14:formula1>
          <x14:formula2>
            <xm:f>Data!L69</xm:f>
          </x14:formula2>
          <xm:sqref>E130</xm:sqref>
        </x14:dataValidation>
        <x14:dataValidation type="date" allowBlank="1" showInputMessage="1" showErrorMessage="1" errorTitle="Date" error="Format Invalid" promptTitle="Date" prompt="DD/MM/YYYY" xr:uid="{2C79AE57-A34F-4472-98DA-A0F99662EADE}">
          <x14:formula1>
            <xm:f>Data!E1</xm:f>
          </x14:formula1>
          <x14:formula2>
            <xm:f>Data!E2</xm:f>
          </x14:formula2>
          <xm:sqref>G120 G26</xm:sqref>
        </x14:dataValidation>
        <x14:dataValidation type="decimal" allowBlank="1" showInputMessage="1" showErrorMessage="1" error="Not in normal range" promptTitle="Consumption" prompt="In MT" xr:uid="{4A420802-EF48-4F24-B131-CB6C7D160923}">
          <x14:formula1>
            <xm:f>Data!L28</xm:f>
          </x14:formula1>
          <x14:formula2>
            <xm:f>Data!L31</xm:f>
          </x14:formula2>
          <xm:sqref>E115 E96</xm:sqref>
        </x14:dataValidation>
        <x14:dataValidation type="decimal" allowBlank="1" showInputMessage="1" showErrorMessage="1" error="Not in normal range" promptTitle="Consumption" prompt="In MT" xr:uid="{5DD0AAA5-499D-485D-AC01-D932ACD69B89}">
          <x14:formula1>
            <xm:f>Data!L47</xm:f>
          </x14:formula1>
          <x14:formula2>
            <xm:f>Data!L50</xm:f>
          </x14:formula2>
          <xm:sqref>E114</xm:sqref>
        </x14:dataValidation>
        <x14:dataValidation type="decimal" allowBlank="1" showInputMessage="1" showErrorMessage="1" error="Not in normal range" promptTitle="Consumption " prompt="In MT" xr:uid="{20718BEA-89C0-4D85-B2C5-FCEEC6776A99}">
          <x14:formula1>
            <xm:f>Data!L47</xm:f>
          </x14:formula1>
          <x14:formula2>
            <xm:f>Data!L50</xm:f>
          </x14:formula2>
          <xm:sqref>E112</xm:sqref>
        </x14:dataValidation>
        <x14:dataValidation type="decimal" allowBlank="1" showInputMessage="1" showErrorMessage="1" error="Not in normal range" promptTitle="Consumption" prompt="In MT" xr:uid="{CC6C850B-505E-44DD-BDA8-6AD971F4E360}">
          <x14:formula1>
            <xm:f>Data!K3</xm:f>
          </x14:formula1>
          <x14:formula2>
            <xm:f>Data!K6</xm:f>
          </x14:formula2>
          <xm:sqref>D65:E65</xm:sqref>
        </x14:dataValidation>
        <x14:dataValidation type="date" allowBlank="1" showInputMessage="1" showErrorMessage="1" errorTitle="Date" error="Format Invalid" promptTitle="Date" prompt="DD/MM/YYYY" xr:uid="{3CC2DF03-4458-47B9-94B7-B7C4BB200078}">
          <x14:formula1>
            <xm:f>Data!E76</xm:f>
          </x14:formula1>
          <x14:formula2>
            <xm:f>Data!E77</xm:f>
          </x14:formula2>
          <xm:sqref>G103</xm:sqref>
        </x14:dataValidation>
        <x14:dataValidation type="decimal" allowBlank="1" showInputMessage="1" showErrorMessage="1" error="Not in normal range" promptTitle="Consumption" prompt="In MT" xr:uid="{7F5B9681-E7A7-4677-AA93-70497F96BDC9}">
          <x14:formula1>
            <xm:f>Data!L9</xm:f>
          </x14:formula1>
          <x14:formula2>
            <xm:f>Data!L12</xm:f>
          </x14:formula2>
          <xm:sqref>E98 E79</xm:sqref>
        </x14:dataValidation>
        <x14:dataValidation type="decimal" allowBlank="1" showInputMessage="1" showErrorMessage="1" error="Not in normal range" promptTitle="Consumption" prompt="In MT" xr:uid="{D4EEA458-8755-420D-9898-82874D9697A8}">
          <x14:formula1>
            <xm:f>Data!L28</xm:f>
          </x14:formula1>
          <x14:formula2>
            <xm:f>Data!L31</xm:f>
          </x14:formula2>
          <xm:sqref>E97</xm:sqref>
        </x14:dataValidation>
        <x14:dataValidation type="decimal" allowBlank="1" showInputMessage="1" showErrorMessage="1" error="Not in normal range" promptTitle="Consumption " prompt="In MT" xr:uid="{99153CE5-5760-4678-A015-AD4BF4CB60E1}">
          <x14:formula1>
            <xm:f>Data!L28</xm:f>
          </x14:formula1>
          <x14:formula2>
            <xm:f>Data!L31</xm:f>
          </x14:formula2>
          <xm:sqref>E95</xm:sqref>
        </x14:dataValidation>
        <x14:dataValidation type="decimal" allowBlank="1" showInputMessage="1" showErrorMessage="1" error="Not in normal range" promptTitle="Consumption" prompt="In MT" xr:uid="{FD5484C8-D085-4CB7-B471-534EC91F4646}">
          <x14:formula1>
            <xm:f>Data!K1048569</xm:f>
          </x14:formula1>
          <x14:formula2>
            <xm:f>Data!K1048572</xm:f>
          </x14:formula2>
          <xm:sqref>D54:E54 D62:E63</xm:sqref>
        </x14:dataValidation>
        <x14:dataValidation type="date" allowBlank="1" showInputMessage="1" showErrorMessage="1" errorTitle="Date" error="Format Invalid" promptTitle="Date" prompt="DD/MM/YYYY" xr:uid="{0482E5B1-6B6B-4A15-91F9-71A0094B12B7}">
          <x14:formula1>
            <xm:f>Data!E57</xm:f>
          </x14:formula1>
          <x14:formula2>
            <xm:f>Data!E58</xm:f>
          </x14:formula2>
          <xm:sqref>G86</xm:sqref>
        </x14:dataValidation>
        <x14:dataValidation type="decimal" allowBlank="1" showInputMessage="1" showErrorMessage="1" error="Not in normal range" promptTitle="Consumption" prompt="In MT" xr:uid="{A2E2DF42-1AC2-424C-9D66-A89B62B88F61}">
          <x14:formula1>
            <xm:f>Data!L9</xm:f>
          </x14:formula1>
          <x14:formula2>
            <xm:f>Data!L12</xm:f>
          </x14:formula2>
          <xm:sqref>E81</xm:sqref>
        </x14:dataValidation>
        <x14:dataValidation type="decimal" allowBlank="1" showInputMessage="1" showErrorMessage="1" error="Not in normal range" promptTitle="Consumption" prompt="In MT" xr:uid="{7B930F56-B748-4131-932D-6051C3BAB470}">
          <x14:formula1>
            <xm:f>Data!L9</xm:f>
          </x14:formula1>
          <x14:formula2>
            <xm:f>Data!L12</xm:f>
          </x14:formula2>
          <xm:sqref>E80</xm:sqref>
        </x14:dataValidation>
        <x14:dataValidation type="decimal" allowBlank="1" showInputMessage="1" showErrorMessage="1" error="Not in normal range" promptTitle="Consumption " prompt="In MT" xr:uid="{C0E03D9E-2562-4AE4-A24D-8E570CC5E550}">
          <x14:formula1>
            <xm:f>Data!L9</xm:f>
          </x14:formula1>
          <x14:formula2>
            <xm:f>Data!L12</xm:f>
          </x14:formula2>
          <xm:sqref>E78</xm:sqref>
        </x14:dataValidation>
        <x14:dataValidation type="decimal" allowBlank="1" showInputMessage="1" showErrorMessage="1" error="Not in normal range" promptTitle="Consumption" prompt="In MT" xr:uid="{2730E0C9-F476-4CAE-8C54-B69772BF43E2}">
          <x14:formula1>
            <xm:f>Data!K1048569</xm:f>
          </x14:formula1>
          <x14:formula2>
            <xm:f>Data!K1048572</xm:f>
          </x14:formula2>
          <xm:sqref>D61:E61 D53:E53</xm:sqref>
        </x14:dataValidation>
        <x14:dataValidation type="date" allowBlank="1" showInputMessage="1" showErrorMessage="1" errorTitle="Date" error="Format Invalid" promptTitle="Date" prompt="DD/MM/YYYY" xr:uid="{00292CC2-7965-4388-9CC6-0A22E9E79DB0}">
          <x14:formula1>
            <xm:f>Data!E38</xm:f>
          </x14:formula1>
          <x14:formula2>
            <xm:f>Data!E39</xm:f>
          </x14:formula2>
          <xm:sqref>G69</xm:sqref>
        </x14:dataValidation>
        <x14:dataValidation type="decimal" allowBlank="1" showInputMessage="1" showErrorMessage="1" error="Not in normal range" promptTitle="Consumption " prompt="In MT" xr:uid="{3B90E62B-9EE2-4FBD-85A4-DD578FA6A8FE}">
          <x14:formula1>
            <xm:f>Data!K1</xm:f>
          </x14:formula1>
          <x14:formula2>
            <xm:f>Data!K4</xm:f>
          </x14:formula2>
          <xm:sqref>D59:E59</xm:sqref>
        </x14:dataValidation>
        <x14:dataValidation type="decimal" allowBlank="1" showInputMessage="1" showErrorMessage="1" error="Not in normal range" promptTitle="Consumption" prompt="In MT" xr:uid="{1F933419-1165-4B0E-9C26-4BE228C21311}">
          <x14:formula1>
            <xm:f>Data!K1048569</xm:f>
          </x14:formula1>
          <x14:formula2>
            <xm:f>Data!K1048572</xm:f>
          </x14:formula2>
          <xm:sqref>D52:E52 D60:E60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97E0-BE70-4E37-8930-C23AF9E7550C}">
  <dimension ref="A1:N401"/>
  <sheetViews>
    <sheetView workbookViewId="0">
      <selection activeCell="C2" sqref="C2"/>
    </sheetView>
  </sheetViews>
  <sheetFormatPr baseColWidth="10" defaultColWidth="11" defaultRowHeight="15.75" x14ac:dyDescent="0.5"/>
  <sheetData>
    <row r="1" spans="1:14" x14ac:dyDescent="0.5">
      <c r="A1" t="s">
        <v>53</v>
      </c>
      <c r="B1" t="s">
        <v>137</v>
      </c>
      <c r="C1" t="s">
        <v>138</v>
      </c>
      <c r="D1" t="s">
        <v>54</v>
      </c>
      <c r="E1" s="31">
        <v>45505</v>
      </c>
      <c r="F1" s="1">
        <v>0</v>
      </c>
      <c r="G1" s="1" t="s">
        <v>55</v>
      </c>
      <c r="H1" t="s">
        <v>19</v>
      </c>
      <c r="I1" t="s">
        <v>21</v>
      </c>
      <c r="J1">
        <v>0</v>
      </c>
      <c r="K1" t="s">
        <v>56</v>
      </c>
      <c r="L1" t="s">
        <v>57</v>
      </c>
      <c r="M1">
        <v>9982938</v>
      </c>
      <c r="N1">
        <v>-12</v>
      </c>
    </row>
    <row r="2" spans="1:14" x14ac:dyDescent="0.5">
      <c r="A2" t="s">
        <v>58</v>
      </c>
      <c r="B2" t="s">
        <v>1</v>
      </c>
      <c r="C2">
        <v>9982938</v>
      </c>
      <c r="D2" t="s">
        <v>60</v>
      </c>
      <c r="E2" s="31">
        <v>51136</v>
      </c>
      <c r="F2" s="1">
        <v>0.99930555555555556</v>
      </c>
      <c r="G2" s="1" t="s">
        <v>61</v>
      </c>
      <c r="H2" t="s">
        <v>62</v>
      </c>
      <c r="I2" t="s">
        <v>63</v>
      </c>
      <c r="J2">
        <v>1</v>
      </c>
      <c r="K2" t="s">
        <v>64</v>
      </c>
      <c r="L2" t="s">
        <v>65</v>
      </c>
      <c r="M2">
        <v>9983798</v>
      </c>
      <c r="N2">
        <v>-11</v>
      </c>
    </row>
    <row r="3" spans="1:14" x14ac:dyDescent="0.5">
      <c r="B3" t="s">
        <v>59</v>
      </c>
      <c r="C3">
        <v>9983798</v>
      </c>
      <c r="D3" t="s">
        <v>66</v>
      </c>
      <c r="G3" s="1" t="s">
        <v>67</v>
      </c>
      <c r="J3">
        <v>2</v>
      </c>
      <c r="K3" t="s">
        <v>68</v>
      </c>
      <c r="L3" t="s">
        <v>69</v>
      </c>
      <c r="M3">
        <v>1094917</v>
      </c>
      <c r="N3">
        <v>-10</v>
      </c>
    </row>
    <row r="4" spans="1:14" x14ac:dyDescent="0.5">
      <c r="B4" t="s">
        <v>131</v>
      </c>
      <c r="C4">
        <v>1094917</v>
      </c>
      <c r="G4" s="1" t="s">
        <v>70</v>
      </c>
      <c r="J4">
        <v>3</v>
      </c>
      <c r="K4" t="s">
        <v>71</v>
      </c>
      <c r="M4">
        <v>1094929</v>
      </c>
      <c r="N4">
        <v>-9</v>
      </c>
    </row>
    <row r="5" spans="1:14" x14ac:dyDescent="0.5">
      <c r="B5" t="s">
        <v>132</v>
      </c>
      <c r="C5">
        <v>1094929</v>
      </c>
      <c r="G5" s="1" t="s">
        <v>72</v>
      </c>
      <c r="J5">
        <v>4</v>
      </c>
      <c r="M5">
        <v>1094931</v>
      </c>
      <c r="N5">
        <v>-8</v>
      </c>
    </row>
    <row r="6" spans="1:14" x14ac:dyDescent="0.5">
      <c r="B6" t="s">
        <v>133</v>
      </c>
      <c r="C6">
        <v>1094931</v>
      </c>
      <c r="G6" s="1" t="s">
        <v>73</v>
      </c>
      <c r="J6">
        <v>5</v>
      </c>
      <c r="M6">
        <v>1094943</v>
      </c>
      <c r="N6">
        <v>-7</v>
      </c>
    </row>
    <row r="7" spans="1:14" x14ac:dyDescent="0.5">
      <c r="B7" t="s">
        <v>134</v>
      </c>
      <c r="C7">
        <v>1094943</v>
      </c>
      <c r="G7" s="1" t="s">
        <v>74</v>
      </c>
      <c r="J7">
        <v>6</v>
      </c>
      <c r="M7">
        <v>1094955</v>
      </c>
      <c r="N7">
        <v>-6</v>
      </c>
    </row>
    <row r="8" spans="1:14" x14ac:dyDescent="0.5">
      <c r="B8" t="s">
        <v>135</v>
      </c>
      <c r="C8">
        <v>1094955</v>
      </c>
      <c r="G8" s="1" t="s">
        <v>15</v>
      </c>
      <c r="J8">
        <v>7</v>
      </c>
      <c r="M8">
        <v>1094967</v>
      </c>
      <c r="N8">
        <v>-5</v>
      </c>
    </row>
    <row r="9" spans="1:14" x14ac:dyDescent="0.5">
      <c r="B9" t="s">
        <v>136</v>
      </c>
      <c r="C9">
        <v>1094967</v>
      </c>
      <c r="G9" s="1" t="s">
        <v>75</v>
      </c>
      <c r="J9">
        <v>8</v>
      </c>
      <c r="N9">
        <v>-4</v>
      </c>
    </row>
    <row r="10" spans="1:14" x14ac:dyDescent="0.5">
      <c r="G10" s="1" t="s">
        <v>76</v>
      </c>
      <c r="J10">
        <v>9</v>
      </c>
      <c r="N10">
        <v>-3</v>
      </c>
    </row>
    <row r="11" spans="1:14" x14ac:dyDescent="0.5">
      <c r="G11" s="1" t="s">
        <v>77</v>
      </c>
      <c r="J11">
        <v>10</v>
      </c>
      <c r="N11">
        <v>-2</v>
      </c>
    </row>
    <row r="12" spans="1:14" x14ac:dyDescent="0.5">
      <c r="G12" s="1" t="s">
        <v>14</v>
      </c>
      <c r="J12">
        <v>11</v>
      </c>
      <c r="N12">
        <v>-1</v>
      </c>
    </row>
    <row r="13" spans="1:14" x14ac:dyDescent="0.5">
      <c r="G13" s="1" t="s">
        <v>16</v>
      </c>
      <c r="J13">
        <v>12</v>
      </c>
      <c r="N13">
        <v>0</v>
      </c>
    </row>
    <row r="14" spans="1:14" x14ac:dyDescent="0.5">
      <c r="G14" s="1" t="s">
        <v>78</v>
      </c>
      <c r="J14">
        <v>13</v>
      </c>
      <c r="N14">
        <v>1</v>
      </c>
    </row>
    <row r="15" spans="1:14" x14ac:dyDescent="0.5">
      <c r="G15" s="1" t="s">
        <v>79</v>
      </c>
      <c r="J15">
        <v>14</v>
      </c>
      <c r="N15">
        <v>2</v>
      </c>
    </row>
    <row r="16" spans="1:14" x14ac:dyDescent="0.5">
      <c r="G16" s="1" t="s">
        <v>80</v>
      </c>
      <c r="J16">
        <v>15</v>
      </c>
      <c r="N16">
        <v>3</v>
      </c>
    </row>
    <row r="17" spans="7:14" x14ac:dyDescent="0.5">
      <c r="G17" s="1" t="s">
        <v>81</v>
      </c>
      <c r="J17">
        <v>16</v>
      </c>
      <c r="N17">
        <v>4</v>
      </c>
    </row>
    <row r="18" spans="7:14" x14ac:dyDescent="0.5">
      <c r="G18" s="1" t="s">
        <v>82</v>
      </c>
      <c r="J18">
        <v>17</v>
      </c>
      <c r="N18">
        <v>5</v>
      </c>
    </row>
    <row r="19" spans="7:14" x14ac:dyDescent="0.5">
      <c r="G19" s="1" t="s">
        <v>83</v>
      </c>
      <c r="J19">
        <v>18</v>
      </c>
      <c r="N19">
        <v>6</v>
      </c>
    </row>
    <row r="20" spans="7:14" x14ac:dyDescent="0.5">
      <c r="G20" s="1" t="s">
        <v>84</v>
      </c>
      <c r="J20">
        <v>19</v>
      </c>
      <c r="N20">
        <v>7</v>
      </c>
    </row>
    <row r="21" spans="7:14" x14ac:dyDescent="0.5">
      <c r="G21" s="1" t="s">
        <v>85</v>
      </c>
      <c r="J21">
        <v>20</v>
      </c>
      <c r="N21">
        <v>8</v>
      </c>
    </row>
    <row r="22" spans="7:14" x14ac:dyDescent="0.5">
      <c r="G22" s="1" t="s">
        <v>86</v>
      </c>
      <c r="J22">
        <v>21</v>
      </c>
      <c r="N22">
        <v>9</v>
      </c>
    </row>
    <row r="23" spans="7:14" x14ac:dyDescent="0.5">
      <c r="G23" s="1" t="s">
        <v>87</v>
      </c>
      <c r="J23">
        <v>22</v>
      </c>
      <c r="N23">
        <v>10</v>
      </c>
    </row>
    <row r="24" spans="7:14" x14ac:dyDescent="0.5">
      <c r="G24" s="1" t="s">
        <v>88</v>
      </c>
      <c r="J24">
        <v>23</v>
      </c>
      <c r="N24">
        <v>11</v>
      </c>
    </row>
    <row r="25" spans="7:14" x14ac:dyDescent="0.5">
      <c r="G25" s="1" t="s">
        <v>89</v>
      </c>
      <c r="J25">
        <v>24</v>
      </c>
      <c r="N25">
        <v>12</v>
      </c>
    </row>
    <row r="26" spans="7:14" x14ac:dyDescent="0.5">
      <c r="G26" s="1"/>
      <c r="J26">
        <v>25</v>
      </c>
    </row>
    <row r="27" spans="7:14" x14ac:dyDescent="0.5">
      <c r="G27" s="1"/>
      <c r="J27">
        <v>26</v>
      </c>
    </row>
    <row r="28" spans="7:14" x14ac:dyDescent="0.5">
      <c r="G28" s="1"/>
      <c r="J28">
        <v>27</v>
      </c>
    </row>
    <row r="29" spans="7:14" x14ac:dyDescent="0.5">
      <c r="G29" s="1"/>
      <c r="J29">
        <v>28</v>
      </c>
    </row>
    <row r="30" spans="7:14" x14ac:dyDescent="0.5">
      <c r="G30" s="1"/>
      <c r="J30">
        <v>29</v>
      </c>
    </row>
    <row r="31" spans="7:14" x14ac:dyDescent="0.5">
      <c r="G31" s="1"/>
      <c r="J31">
        <v>30</v>
      </c>
    </row>
    <row r="32" spans="7:14" x14ac:dyDescent="0.5">
      <c r="G32" s="1"/>
      <c r="J32">
        <v>31</v>
      </c>
    </row>
    <row r="33" spans="7:10" x14ac:dyDescent="0.5">
      <c r="G33" s="1"/>
      <c r="J33">
        <v>32</v>
      </c>
    </row>
    <row r="34" spans="7:10" x14ac:dyDescent="0.5">
      <c r="G34" s="1"/>
      <c r="J34">
        <v>33</v>
      </c>
    </row>
    <row r="35" spans="7:10" x14ac:dyDescent="0.5">
      <c r="J35">
        <v>34</v>
      </c>
    </row>
    <row r="36" spans="7:10" x14ac:dyDescent="0.5">
      <c r="J36">
        <v>35</v>
      </c>
    </row>
    <row r="37" spans="7:10" x14ac:dyDescent="0.5">
      <c r="J37">
        <v>36</v>
      </c>
    </row>
    <row r="38" spans="7:10" x14ac:dyDescent="0.5">
      <c r="J38">
        <v>37</v>
      </c>
    </row>
    <row r="39" spans="7:10" x14ac:dyDescent="0.5">
      <c r="J39">
        <v>38</v>
      </c>
    </row>
    <row r="40" spans="7:10" x14ac:dyDescent="0.5">
      <c r="J40">
        <v>39</v>
      </c>
    </row>
    <row r="41" spans="7:10" x14ac:dyDescent="0.5">
      <c r="J41">
        <v>40</v>
      </c>
    </row>
    <row r="42" spans="7:10" x14ac:dyDescent="0.5">
      <c r="J42">
        <v>41</v>
      </c>
    </row>
    <row r="43" spans="7:10" x14ac:dyDescent="0.5">
      <c r="J43">
        <v>42</v>
      </c>
    </row>
    <row r="44" spans="7:10" x14ac:dyDescent="0.5">
      <c r="J44">
        <v>43</v>
      </c>
    </row>
    <row r="45" spans="7:10" x14ac:dyDescent="0.5">
      <c r="J45">
        <v>44</v>
      </c>
    </row>
    <row r="46" spans="7:10" x14ac:dyDescent="0.5">
      <c r="J46">
        <v>45</v>
      </c>
    </row>
    <row r="47" spans="7:10" x14ac:dyDescent="0.5">
      <c r="J47">
        <v>46</v>
      </c>
    </row>
    <row r="48" spans="7:10" x14ac:dyDescent="0.5">
      <c r="J48">
        <v>47</v>
      </c>
    </row>
    <row r="49" spans="10:10" x14ac:dyDescent="0.5">
      <c r="J49">
        <v>48</v>
      </c>
    </row>
    <row r="50" spans="10:10" x14ac:dyDescent="0.5">
      <c r="J50">
        <v>49</v>
      </c>
    </row>
    <row r="51" spans="10:10" x14ac:dyDescent="0.5">
      <c r="J51">
        <v>50</v>
      </c>
    </row>
    <row r="52" spans="10:10" x14ac:dyDescent="0.5">
      <c r="J52">
        <v>51</v>
      </c>
    </row>
    <row r="53" spans="10:10" x14ac:dyDescent="0.5">
      <c r="J53">
        <v>52</v>
      </c>
    </row>
    <row r="54" spans="10:10" x14ac:dyDescent="0.5">
      <c r="J54">
        <v>53</v>
      </c>
    </row>
    <row r="55" spans="10:10" x14ac:dyDescent="0.5">
      <c r="J55">
        <v>54</v>
      </c>
    </row>
    <row r="56" spans="10:10" x14ac:dyDescent="0.5">
      <c r="J56">
        <v>55</v>
      </c>
    </row>
    <row r="57" spans="10:10" x14ac:dyDescent="0.5">
      <c r="J57">
        <v>56</v>
      </c>
    </row>
    <row r="58" spans="10:10" x14ac:dyDescent="0.5">
      <c r="J58">
        <v>57</v>
      </c>
    </row>
    <row r="59" spans="10:10" x14ac:dyDescent="0.5">
      <c r="J59">
        <v>58</v>
      </c>
    </row>
    <row r="60" spans="10:10" x14ac:dyDescent="0.5">
      <c r="J60">
        <v>59</v>
      </c>
    </row>
    <row r="61" spans="10:10" x14ac:dyDescent="0.5">
      <c r="J61">
        <v>60</v>
      </c>
    </row>
    <row r="62" spans="10:10" x14ac:dyDescent="0.5">
      <c r="J62">
        <v>61</v>
      </c>
    </row>
    <row r="63" spans="10:10" x14ac:dyDescent="0.5">
      <c r="J63">
        <v>62</v>
      </c>
    </row>
    <row r="64" spans="10:10" x14ac:dyDescent="0.5">
      <c r="J64">
        <v>63</v>
      </c>
    </row>
    <row r="65" spans="10:10" x14ac:dyDescent="0.5">
      <c r="J65">
        <v>64</v>
      </c>
    </row>
    <row r="66" spans="10:10" x14ac:dyDescent="0.5">
      <c r="J66">
        <v>65</v>
      </c>
    </row>
    <row r="67" spans="10:10" x14ac:dyDescent="0.5">
      <c r="J67">
        <v>66</v>
      </c>
    </row>
    <row r="68" spans="10:10" x14ac:dyDescent="0.5">
      <c r="J68">
        <v>67</v>
      </c>
    </row>
    <row r="69" spans="10:10" x14ac:dyDescent="0.5">
      <c r="J69">
        <v>68</v>
      </c>
    </row>
    <row r="70" spans="10:10" x14ac:dyDescent="0.5">
      <c r="J70">
        <v>69</v>
      </c>
    </row>
    <row r="71" spans="10:10" x14ac:dyDescent="0.5">
      <c r="J71">
        <v>70</v>
      </c>
    </row>
    <row r="72" spans="10:10" x14ac:dyDescent="0.5">
      <c r="J72">
        <v>71</v>
      </c>
    </row>
    <row r="73" spans="10:10" x14ac:dyDescent="0.5">
      <c r="J73">
        <v>72</v>
      </c>
    </row>
    <row r="74" spans="10:10" x14ac:dyDescent="0.5">
      <c r="J74">
        <v>73</v>
      </c>
    </row>
    <row r="75" spans="10:10" x14ac:dyDescent="0.5">
      <c r="J75">
        <v>74</v>
      </c>
    </row>
    <row r="76" spans="10:10" x14ac:dyDescent="0.5">
      <c r="J76">
        <v>75</v>
      </c>
    </row>
    <row r="77" spans="10:10" x14ac:dyDescent="0.5">
      <c r="J77">
        <v>76</v>
      </c>
    </row>
    <row r="78" spans="10:10" x14ac:dyDescent="0.5">
      <c r="J78">
        <v>77</v>
      </c>
    </row>
    <row r="79" spans="10:10" x14ac:dyDescent="0.5">
      <c r="J79">
        <v>78</v>
      </c>
    </row>
    <row r="80" spans="10:10" x14ac:dyDescent="0.5">
      <c r="J80">
        <v>79</v>
      </c>
    </row>
    <row r="81" spans="10:10" x14ac:dyDescent="0.5">
      <c r="J81">
        <v>80</v>
      </c>
    </row>
    <row r="82" spans="10:10" x14ac:dyDescent="0.5">
      <c r="J82">
        <v>81</v>
      </c>
    </row>
    <row r="83" spans="10:10" x14ac:dyDescent="0.5">
      <c r="J83">
        <v>82</v>
      </c>
    </row>
    <row r="84" spans="10:10" x14ac:dyDescent="0.5">
      <c r="J84">
        <v>83</v>
      </c>
    </row>
    <row r="85" spans="10:10" x14ac:dyDescent="0.5">
      <c r="J85">
        <v>84</v>
      </c>
    </row>
    <row r="86" spans="10:10" x14ac:dyDescent="0.5">
      <c r="J86">
        <v>85</v>
      </c>
    </row>
    <row r="87" spans="10:10" x14ac:dyDescent="0.5">
      <c r="J87">
        <v>86</v>
      </c>
    </row>
    <row r="88" spans="10:10" x14ac:dyDescent="0.5">
      <c r="J88">
        <v>87</v>
      </c>
    </row>
    <row r="89" spans="10:10" x14ac:dyDescent="0.5">
      <c r="J89">
        <v>88</v>
      </c>
    </row>
    <row r="90" spans="10:10" x14ac:dyDescent="0.5">
      <c r="J90">
        <v>89</v>
      </c>
    </row>
    <row r="91" spans="10:10" x14ac:dyDescent="0.5">
      <c r="J91">
        <v>90</v>
      </c>
    </row>
    <row r="92" spans="10:10" x14ac:dyDescent="0.5">
      <c r="J92">
        <v>91</v>
      </c>
    </row>
    <row r="93" spans="10:10" x14ac:dyDescent="0.5">
      <c r="J93">
        <v>92</v>
      </c>
    </row>
    <row r="94" spans="10:10" x14ac:dyDescent="0.5">
      <c r="J94">
        <v>93</v>
      </c>
    </row>
    <row r="95" spans="10:10" x14ac:dyDescent="0.5">
      <c r="J95">
        <v>94</v>
      </c>
    </row>
    <row r="96" spans="10:10" x14ac:dyDescent="0.5">
      <c r="J96">
        <v>95</v>
      </c>
    </row>
    <row r="97" spans="10:10" x14ac:dyDescent="0.5">
      <c r="J97">
        <v>96</v>
      </c>
    </row>
    <row r="98" spans="10:10" x14ac:dyDescent="0.5">
      <c r="J98">
        <v>97</v>
      </c>
    </row>
    <row r="99" spans="10:10" x14ac:dyDescent="0.5">
      <c r="J99">
        <v>98</v>
      </c>
    </row>
    <row r="100" spans="10:10" x14ac:dyDescent="0.5">
      <c r="J100">
        <v>99</v>
      </c>
    </row>
    <row r="101" spans="10:10" x14ac:dyDescent="0.5">
      <c r="J101">
        <v>100</v>
      </c>
    </row>
    <row r="102" spans="10:10" x14ac:dyDescent="0.5">
      <c r="J102">
        <v>101</v>
      </c>
    </row>
    <row r="103" spans="10:10" x14ac:dyDescent="0.5">
      <c r="J103">
        <v>102</v>
      </c>
    </row>
    <row r="104" spans="10:10" x14ac:dyDescent="0.5">
      <c r="J104">
        <v>103</v>
      </c>
    </row>
    <row r="105" spans="10:10" x14ac:dyDescent="0.5">
      <c r="J105">
        <v>104</v>
      </c>
    </row>
    <row r="106" spans="10:10" x14ac:dyDescent="0.5">
      <c r="J106">
        <v>105</v>
      </c>
    </row>
    <row r="107" spans="10:10" x14ac:dyDescent="0.5">
      <c r="J107">
        <v>106</v>
      </c>
    </row>
    <row r="108" spans="10:10" x14ac:dyDescent="0.5">
      <c r="J108">
        <v>107</v>
      </c>
    </row>
    <row r="109" spans="10:10" x14ac:dyDescent="0.5">
      <c r="J109">
        <v>108</v>
      </c>
    </row>
    <row r="110" spans="10:10" x14ac:dyDescent="0.5">
      <c r="J110">
        <v>109</v>
      </c>
    </row>
    <row r="111" spans="10:10" x14ac:dyDescent="0.5">
      <c r="J111">
        <v>110</v>
      </c>
    </row>
    <row r="112" spans="10:10" x14ac:dyDescent="0.5">
      <c r="J112">
        <v>111</v>
      </c>
    </row>
    <row r="113" spans="10:10" x14ac:dyDescent="0.5">
      <c r="J113">
        <v>112</v>
      </c>
    </row>
    <row r="114" spans="10:10" x14ac:dyDescent="0.5">
      <c r="J114">
        <v>113</v>
      </c>
    </row>
    <row r="115" spans="10:10" x14ac:dyDescent="0.5">
      <c r="J115">
        <v>114</v>
      </c>
    </row>
    <row r="116" spans="10:10" x14ac:dyDescent="0.5">
      <c r="J116">
        <v>115</v>
      </c>
    </row>
    <row r="117" spans="10:10" x14ac:dyDescent="0.5">
      <c r="J117">
        <v>116</v>
      </c>
    </row>
    <row r="118" spans="10:10" x14ac:dyDescent="0.5">
      <c r="J118">
        <v>117</v>
      </c>
    </row>
    <row r="119" spans="10:10" x14ac:dyDescent="0.5">
      <c r="J119">
        <v>118</v>
      </c>
    </row>
    <row r="120" spans="10:10" x14ac:dyDescent="0.5">
      <c r="J120">
        <v>119</v>
      </c>
    </row>
    <row r="121" spans="10:10" x14ac:dyDescent="0.5">
      <c r="J121">
        <v>120</v>
      </c>
    </row>
    <row r="122" spans="10:10" x14ac:dyDescent="0.5">
      <c r="J122">
        <v>121</v>
      </c>
    </row>
    <row r="123" spans="10:10" x14ac:dyDescent="0.5">
      <c r="J123">
        <v>122</v>
      </c>
    </row>
    <row r="124" spans="10:10" x14ac:dyDescent="0.5">
      <c r="J124">
        <v>123</v>
      </c>
    </row>
    <row r="125" spans="10:10" x14ac:dyDescent="0.5">
      <c r="J125">
        <v>124</v>
      </c>
    </row>
    <row r="126" spans="10:10" x14ac:dyDescent="0.5">
      <c r="J126">
        <v>125</v>
      </c>
    </row>
    <row r="127" spans="10:10" x14ac:dyDescent="0.5">
      <c r="J127">
        <v>126</v>
      </c>
    </row>
    <row r="128" spans="10:10" x14ac:dyDescent="0.5">
      <c r="J128">
        <v>127</v>
      </c>
    </row>
    <row r="129" spans="10:10" x14ac:dyDescent="0.5">
      <c r="J129">
        <v>128</v>
      </c>
    </row>
    <row r="130" spans="10:10" x14ac:dyDescent="0.5">
      <c r="J130">
        <v>129</v>
      </c>
    </row>
    <row r="131" spans="10:10" x14ac:dyDescent="0.5">
      <c r="J131">
        <v>130</v>
      </c>
    </row>
    <row r="132" spans="10:10" x14ac:dyDescent="0.5">
      <c r="J132">
        <v>131</v>
      </c>
    </row>
    <row r="133" spans="10:10" x14ac:dyDescent="0.5">
      <c r="J133">
        <v>132</v>
      </c>
    </row>
    <row r="134" spans="10:10" x14ac:dyDescent="0.5">
      <c r="J134">
        <v>133</v>
      </c>
    </row>
    <row r="135" spans="10:10" x14ac:dyDescent="0.5">
      <c r="J135">
        <v>134</v>
      </c>
    </row>
    <row r="136" spans="10:10" x14ac:dyDescent="0.5">
      <c r="J136">
        <v>135</v>
      </c>
    </row>
    <row r="137" spans="10:10" x14ac:dyDescent="0.5">
      <c r="J137">
        <v>136</v>
      </c>
    </row>
    <row r="138" spans="10:10" x14ac:dyDescent="0.5">
      <c r="J138">
        <v>137</v>
      </c>
    </row>
    <row r="139" spans="10:10" x14ac:dyDescent="0.5">
      <c r="J139">
        <v>138</v>
      </c>
    </row>
    <row r="140" spans="10:10" x14ac:dyDescent="0.5">
      <c r="J140">
        <v>139</v>
      </c>
    </row>
    <row r="141" spans="10:10" x14ac:dyDescent="0.5">
      <c r="J141">
        <v>140</v>
      </c>
    </row>
    <row r="142" spans="10:10" x14ac:dyDescent="0.5">
      <c r="J142">
        <v>141</v>
      </c>
    </row>
    <row r="143" spans="10:10" x14ac:dyDescent="0.5">
      <c r="J143">
        <v>142</v>
      </c>
    </row>
    <row r="144" spans="10:10" x14ac:dyDescent="0.5">
      <c r="J144">
        <v>143</v>
      </c>
    </row>
    <row r="145" spans="10:10" x14ac:dyDescent="0.5">
      <c r="J145">
        <v>144</v>
      </c>
    </row>
    <row r="146" spans="10:10" x14ac:dyDescent="0.5">
      <c r="J146">
        <v>145</v>
      </c>
    </row>
    <row r="147" spans="10:10" x14ac:dyDescent="0.5">
      <c r="J147">
        <v>146</v>
      </c>
    </row>
    <row r="148" spans="10:10" x14ac:dyDescent="0.5">
      <c r="J148">
        <v>147</v>
      </c>
    </row>
    <row r="149" spans="10:10" x14ac:dyDescent="0.5">
      <c r="J149">
        <v>148</v>
      </c>
    </row>
    <row r="150" spans="10:10" x14ac:dyDescent="0.5">
      <c r="J150">
        <v>149</v>
      </c>
    </row>
    <row r="151" spans="10:10" x14ac:dyDescent="0.5">
      <c r="J151">
        <v>150</v>
      </c>
    </row>
    <row r="152" spans="10:10" x14ac:dyDescent="0.5">
      <c r="J152">
        <v>151</v>
      </c>
    </row>
    <row r="153" spans="10:10" x14ac:dyDescent="0.5">
      <c r="J153">
        <v>152</v>
      </c>
    </row>
    <row r="154" spans="10:10" x14ac:dyDescent="0.5">
      <c r="J154">
        <v>153</v>
      </c>
    </row>
    <row r="155" spans="10:10" x14ac:dyDescent="0.5">
      <c r="J155">
        <v>154</v>
      </c>
    </row>
    <row r="156" spans="10:10" x14ac:dyDescent="0.5">
      <c r="J156">
        <v>155</v>
      </c>
    </row>
    <row r="157" spans="10:10" x14ac:dyDescent="0.5">
      <c r="J157">
        <v>156</v>
      </c>
    </row>
    <row r="158" spans="10:10" x14ac:dyDescent="0.5">
      <c r="J158">
        <v>157</v>
      </c>
    </row>
    <row r="159" spans="10:10" x14ac:dyDescent="0.5">
      <c r="J159">
        <v>158</v>
      </c>
    </row>
    <row r="160" spans="10:10" x14ac:dyDescent="0.5">
      <c r="J160">
        <v>159</v>
      </c>
    </row>
    <row r="161" spans="10:10" x14ac:dyDescent="0.5">
      <c r="J161">
        <v>160</v>
      </c>
    </row>
    <row r="162" spans="10:10" x14ac:dyDescent="0.5">
      <c r="J162">
        <v>161</v>
      </c>
    </row>
    <row r="163" spans="10:10" x14ac:dyDescent="0.5">
      <c r="J163">
        <v>162</v>
      </c>
    </row>
    <row r="164" spans="10:10" x14ac:dyDescent="0.5">
      <c r="J164">
        <v>163</v>
      </c>
    </row>
    <row r="165" spans="10:10" x14ac:dyDescent="0.5">
      <c r="J165">
        <v>164</v>
      </c>
    </row>
    <row r="166" spans="10:10" x14ac:dyDescent="0.5">
      <c r="J166">
        <v>165</v>
      </c>
    </row>
    <row r="167" spans="10:10" x14ac:dyDescent="0.5">
      <c r="J167">
        <v>166</v>
      </c>
    </row>
    <row r="168" spans="10:10" x14ac:dyDescent="0.5">
      <c r="J168">
        <v>167</v>
      </c>
    </row>
    <row r="169" spans="10:10" x14ac:dyDescent="0.5">
      <c r="J169">
        <v>168</v>
      </c>
    </row>
    <row r="170" spans="10:10" x14ac:dyDescent="0.5">
      <c r="J170">
        <v>169</v>
      </c>
    </row>
    <row r="171" spans="10:10" x14ac:dyDescent="0.5">
      <c r="J171">
        <v>170</v>
      </c>
    </row>
    <row r="172" spans="10:10" x14ac:dyDescent="0.5">
      <c r="J172">
        <v>171</v>
      </c>
    </row>
    <row r="173" spans="10:10" x14ac:dyDescent="0.5">
      <c r="J173">
        <v>172</v>
      </c>
    </row>
    <row r="174" spans="10:10" x14ac:dyDescent="0.5">
      <c r="J174">
        <v>173</v>
      </c>
    </row>
    <row r="175" spans="10:10" x14ac:dyDescent="0.5">
      <c r="J175">
        <v>174</v>
      </c>
    </row>
    <row r="176" spans="10:10" x14ac:dyDescent="0.5">
      <c r="J176">
        <v>175</v>
      </c>
    </row>
    <row r="177" spans="10:10" x14ac:dyDescent="0.5">
      <c r="J177">
        <v>176</v>
      </c>
    </row>
    <row r="178" spans="10:10" x14ac:dyDescent="0.5">
      <c r="J178">
        <v>177</v>
      </c>
    </row>
    <row r="179" spans="10:10" x14ac:dyDescent="0.5">
      <c r="J179">
        <v>178</v>
      </c>
    </row>
    <row r="180" spans="10:10" x14ac:dyDescent="0.5">
      <c r="J180">
        <v>179</v>
      </c>
    </row>
    <row r="181" spans="10:10" x14ac:dyDescent="0.5">
      <c r="J181">
        <v>180</v>
      </c>
    </row>
    <row r="182" spans="10:10" x14ac:dyDescent="0.5">
      <c r="J182">
        <v>181</v>
      </c>
    </row>
    <row r="183" spans="10:10" x14ac:dyDescent="0.5">
      <c r="J183">
        <v>182</v>
      </c>
    </row>
    <row r="184" spans="10:10" x14ac:dyDescent="0.5">
      <c r="J184">
        <v>183</v>
      </c>
    </row>
    <row r="185" spans="10:10" x14ac:dyDescent="0.5">
      <c r="J185">
        <v>184</v>
      </c>
    </row>
    <row r="186" spans="10:10" x14ac:dyDescent="0.5">
      <c r="J186">
        <v>185</v>
      </c>
    </row>
    <row r="187" spans="10:10" x14ac:dyDescent="0.5">
      <c r="J187">
        <v>186</v>
      </c>
    </row>
    <row r="188" spans="10:10" x14ac:dyDescent="0.5">
      <c r="J188">
        <v>187</v>
      </c>
    </row>
    <row r="189" spans="10:10" x14ac:dyDescent="0.5">
      <c r="J189">
        <v>188</v>
      </c>
    </row>
    <row r="190" spans="10:10" x14ac:dyDescent="0.5">
      <c r="J190">
        <v>189</v>
      </c>
    </row>
    <row r="191" spans="10:10" x14ac:dyDescent="0.5">
      <c r="J191">
        <v>190</v>
      </c>
    </row>
    <row r="192" spans="10:10" x14ac:dyDescent="0.5">
      <c r="J192">
        <v>191</v>
      </c>
    </row>
    <row r="193" spans="10:10" x14ac:dyDescent="0.5">
      <c r="J193">
        <v>192</v>
      </c>
    </row>
    <row r="194" spans="10:10" x14ac:dyDescent="0.5">
      <c r="J194">
        <v>193</v>
      </c>
    </row>
    <row r="195" spans="10:10" x14ac:dyDescent="0.5">
      <c r="J195">
        <v>194</v>
      </c>
    </row>
    <row r="196" spans="10:10" x14ac:dyDescent="0.5">
      <c r="J196">
        <v>195</v>
      </c>
    </row>
    <row r="197" spans="10:10" x14ac:dyDescent="0.5">
      <c r="J197">
        <v>196</v>
      </c>
    </row>
    <row r="198" spans="10:10" x14ac:dyDescent="0.5">
      <c r="J198">
        <v>197</v>
      </c>
    </row>
    <row r="199" spans="10:10" x14ac:dyDescent="0.5">
      <c r="J199">
        <v>198</v>
      </c>
    </row>
    <row r="200" spans="10:10" x14ac:dyDescent="0.5">
      <c r="J200">
        <v>199</v>
      </c>
    </row>
    <row r="201" spans="10:10" x14ac:dyDescent="0.5">
      <c r="J201">
        <v>200</v>
      </c>
    </row>
    <row r="202" spans="10:10" x14ac:dyDescent="0.5">
      <c r="J202">
        <v>201</v>
      </c>
    </row>
    <row r="203" spans="10:10" x14ac:dyDescent="0.5">
      <c r="J203">
        <v>202</v>
      </c>
    </row>
    <row r="204" spans="10:10" x14ac:dyDescent="0.5">
      <c r="J204">
        <v>203</v>
      </c>
    </row>
    <row r="205" spans="10:10" x14ac:dyDescent="0.5">
      <c r="J205">
        <v>204</v>
      </c>
    </row>
    <row r="206" spans="10:10" x14ac:dyDescent="0.5">
      <c r="J206">
        <v>205</v>
      </c>
    </row>
    <row r="207" spans="10:10" x14ac:dyDescent="0.5">
      <c r="J207">
        <v>206</v>
      </c>
    </row>
    <row r="208" spans="10:10" x14ac:dyDescent="0.5">
      <c r="J208">
        <v>207</v>
      </c>
    </row>
    <row r="209" spans="10:10" x14ac:dyDescent="0.5">
      <c r="J209">
        <v>208</v>
      </c>
    </row>
    <row r="210" spans="10:10" x14ac:dyDescent="0.5">
      <c r="J210">
        <v>209</v>
      </c>
    </row>
    <row r="211" spans="10:10" x14ac:dyDescent="0.5">
      <c r="J211">
        <v>210</v>
      </c>
    </row>
    <row r="212" spans="10:10" x14ac:dyDescent="0.5">
      <c r="J212">
        <v>211</v>
      </c>
    </row>
    <row r="213" spans="10:10" x14ac:dyDescent="0.5">
      <c r="J213">
        <v>212</v>
      </c>
    </row>
    <row r="214" spans="10:10" x14ac:dyDescent="0.5">
      <c r="J214">
        <v>213</v>
      </c>
    </row>
    <row r="215" spans="10:10" x14ac:dyDescent="0.5">
      <c r="J215">
        <v>214</v>
      </c>
    </row>
    <row r="216" spans="10:10" x14ac:dyDescent="0.5">
      <c r="J216">
        <v>215</v>
      </c>
    </row>
    <row r="217" spans="10:10" x14ac:dyDescent="0.5">
      <c r="J217">
        <v>216</v>
      </c>
    </row>
    <row r="218" spans="10:10" x14ac:dyDescent="0.5">
      <c r="J218">
        <v>217</v>
      </c>
    </row>
    <row r="219" spans="10:10" x14ac:dyDescent="0.5">
      <c r="J219">
        <v>218</v>
      </c>
    </row>
    <row r="220" spans="10:10" x14ac:dyDescent="0.5">
      <c r="J220">
        <v>219</v>
      </c>
    </row>
    <row r="221" spans="10:10" x14ac:dyDescent="0.5">
      <c r="J221">
        <v>220</v>
      </c>
    </row>
    <row r="222" spans="10:10" x14ac:dyDescent="0.5">
      <c r="J222">
        <v>221</v>
      </c>
    </row>
    <row r="223" spans="10:10" x14ac:dyDescent="0.5">
      <c r="J223">
        <v>222</v>
      </c>
    </row>
    <row r="224" spans="10:10" x14ac:dyDescent="0.5">
      <c r="J224">
        <v>223</v>
      </c>
    </row>
    <row r="225" spans="10:10" x14ac:dyDescent="0.5">
      <c r="J225">
        <v>224</v>
      </c>
    </row>
    <row r="226" spans="10:10" x14ac:dyDescent="0.5">
      <c r="J226">
        <v>225</v>
      </c>
    </row>
    <row r="227" spans="10:10" x14ac:dyDescent="0.5">
      <c r="J227">
        <v>226</v>
      </c>
    </row>
    <row r="228" spans="10:10" x14ac:dyDescent="0.5">
      <c r="J228">
        <v>227</v>
      </c>
    </row>
    <row r="229" spans="10:10" x14ac:dyDescent="0.5">
      <c r="J229">
        <v>228</v>
      </c>
    </row>
    <row r="230" spans="10:10" x14ac:dyDescent="0.5">
      <c r="J230">
        <v>229</v>
      </c>
    </row>
    <row r="231" spans="10:10" x14ac:dyDescent="0.5">
      <c r="J231">
        <v>230</v>
      </c>
    </row>
    <row r="232" spans="10:10" x14ac:dyDescent="0.5">
      <c r="J232">
        <v>231</v>
      </c>
    </row>
    <row r="233" spans="10:10" x14ac:dyDescent="0.5">
      <c r="J233">
        <v>232</v>
      </c>
    </row>
    <row r="234" spans="10:10" x14ac:dyDescent="0.5">
      <c r="J234">
        <v>233</v>
      </c>
    </row>
    <row r="235" spans="10:10" x14ac:dyDescent="0.5">
      <c r="J235">
        <v>234</v>
      </c>
    </row>
    <row r="236" spans="10:10" x14ac:dyDescent="0.5">
      <c r="J236">
        <v>235</v>
      </c>
    </row>
    <row r="237" spans="10:10" x14ac:dyDescent="0.5">
      <c r="J237">
        <v>236</v>
      </c>
    </row>
    <row r="238" spans="10:10" x14ac:dyDescent="0.5">
      <c r="J238">
        <v>237</v>
      </c>
    </row>
    <row r="239" spans="10:10" x14ac:dyDescent="0.5">
      <c r="J239">
        <v>238</v>
      </c>
    </row>
    <row r="240" spans="10:10" x14ac:dyDescent="0.5">
      <c r="J240">
        <v>239</v>
      </c>
    </row>
    <row r="241" spans="10:10" x14ac:dyDescent="0.5">
      <c r="J241">
        <v>240</v>
      </c>
    </row>
    <row r="242" spans="10:10" x14ac:dyDescent="0.5">
      <c r="J242">
        <v>241</v>
      </c>
    </row>
    <row r="243" spans="10:10" x14ac:dyDescent="0.5">
      <c r="J243">
        <v>242</v>
      </c>
    </row>
    <row r="244" spans="10:10" x14ac:dyDescent="0.5">
      <c r="J244">
        <v>243</v>
      </c>
    </row>
    <row r="245" spans="10:10" x14ac:dyDescent="0.5">
      <c r="J245">
        <v>244</v>
      </c>
    </row>
    <row r="246" spans="10:10" x14ac:dyDescent="0.5">
      <c r="J246">
        <v>245</v>
      </c>
    </row>
    <row r="247" spans="10:10" x14ac:dyDescent="0.5">
      <c r="J247">
        <v>246</v>
      </c>
    </row>
    <row r="248" spans="10:10" x14ac:dyDescent="0.5">
      <c r="J248">
        <v>247</v>
      </c>
    </row>
    <row r="249" spans="10:10" x14ac:dyDescent="0.5">
      <c r="J249">
        <v>248</v>
      </c>
    </row>
    <row r="250" spans="10:10" x14ac:dyDescent="0.5">
      <c r="J250">
        <v>249</v>
      </c>
    </row>
    <row r="251" spans="10:10" x14ac:dyDescent="0.5">
      <c r="J251">
        <v>250</v>
      </c>
    </row>
    <row r="252" spans="10:10" x14ac:dyDescent="0.5">
      <c r="J252">
        <v>251</v>
      </c>
    </row>
    <row r="253" spans="10:10" x14ac:dyDescent="0.5">
      <c r="J253">
        <v>252</v>
      </c>
    </row>
    <row r="254" spans="10:10" x14ac:dyDescent="0.5">
      <c r="J254">
        <v>253</v>
      </c>
    </row>
    <row r="255" spans="10:10" x14ac:dyDescent="0.5">
      <c r="J255">
        <v>254</v>
      </c>
    </row>
    <row r="256" spans="10:10" x14ac:dyDescent="0.5">
      <c r="J256">
        <v>255</v>
      </c>
    </row>
    <row r="257" spans="10:10" x14ac:dyDescent="0.5">
      <c r="J257">
        <v>256</v>
      </c>
    </row>
    <row r="258" spans="10:10" x14ac:dyDescent="0.5">
      <c r="J258">
        <v>257</v>
      </c>
    </row>
    <row r="259" spans="10:10" x14ac:dyDescent="0.5">
      <c r="J259">
        <v>258</v>
      </c>
    </row>
    <row r="260" spans="10:10" x14ac:dyDescent="0.5">
      <c r="J260">
        <v>259</v>
      </c>
    </row>
    <row r="261" spans="10:10" x14ac:dyDescent="0.5">
      <c r="J261">
        <v>260</v>
      </c>
    </row>
    <row r="262" spans="10:10" x14ac:dyDescent="0.5">
      <c r="J262">
        <v>261</v>
      </c>
    </row>
    <row r="263" spans="10:10" x14ac:dyDescent="0.5">
      <c r="J263">
        <v>262</v>
      </c>
    </row>
    <row r="264" spans="10:10" x14ac:dyDescent="0.5">
      <c r="J264">
        <v>263</v>
      </c>
    </row>
    <row r="265" spans="10:10" x14ac:dyDescent="0.5">
      <c r="J265">
        <v>264</v>
      </c>
    </row>
    <row r="266" spans="10:10" x14ac:dyDescent="0.5">
      <c r="J266">
        <v>265</v>
      </c>
    </row>
    <row r="267" spans="10:10" x14ac:dyDescent="0.5">
      <c r="J267">
        <v>266</v>
      </c>
    </row>
    <row r="268" spans="10:10" x14ac:dyDescent="0.5">
      <c r="J268">
        <v>267</v>
      </c>
    </row>
    <row r="269" spans="10:10" x14ac:dyDescent="0.5">
      <c r="J269">
        <v>268</v>
      </c>
    </row>
    <row r="270" spans="10:10" x14ac:dyDescent="0.5">
      <c r="J270">
        <v>269</v>
      </c>
    </row>
    <row r="271" spans="10:10" x14ac:dyDescent="0.5">
      <c r="J271">
        <v>270</v>
      </c>
    </row>
    <row r="272" spans="10:10" x14ac:dyDescent="0.5">
      <c r="J272">
        <v>271</v>
      </c>
    </row>
    <row r="273" spans="10:10" x14ac:dyDescent="0.5">
      <c r="J273">
        <v>272</v>
      </c>
    </row>
    <row r="274" spans="10:10" x14ac:dyDescent="0.5">
      <c r="J274">
        <v>273</v>
      </c>
    </row>
    <row r="275" spans="10:10" x14ac:dyDescent="0.5">
      <c r="J275">
        <v>274</v>
      </c>
    </row>
    <row r="276" spans="10:10" x14ac:dyDescent="0.5">
      <c r="J276">
        <v>275</v>
      </c>
    </row>
    <row r="277" spans="10:10" x14ac:dyDescent="0.5">
      <c r="J277">
        <v>276</v>
      </c>
    </row>
    <row r="278" spans="10:10" x14ac:dyDescent="0.5">
      <c r="J278">
        <v>277</v>
      </c>
    </row>
    <row r="279" spans="10:10" x14ac:dyDescent="0.5">
      <c r="J279">
        <v>278</v>
      </c>
    </row>
    <row r="280" spans="10:10" x14ac:dyDescent="0.5">
      <c r="J280">
        <v>279</v>
      </c>
    </row>
    <row r="281" spans="10:10" x14ac:dyDescent="0.5">
      <c r="J281">
        <v>280</v>
      </c>
    </row>
    <row r="282" spans="10:10" x14ac:dyDescent="0.5">
      <c r="J282">
        <v>281</v>
      </c>
    </row>
    <row r="283" spans="10:10" x14ac:dyDescent="0.5">
      <c r="J283">
        <v>282</v>
      </c>
    </row>
    <row r="284" spans="10:10" x14ac:dyDescent="0.5">
      <c r="J284">
        <v>283</v>
      </c>
    </row>
    <row r="285" spans="10:10" x14ac:dyDescent="0.5">
      <c r="J285">
        <v>284</v>
      </c>
    </row>
    <row r="286" spans="10:10" x14ac:dyDescent="0.5">
      <c r="J286">
        <v>285</v>
      </c>
    </row>
    <row r="287" spans="10:10" x14ac:dyDescent="0.5">
      <c r="J287">
        <v>286</v>
      </c>
    </row>
    <row r="288" spans="10:10" x14ac:dyDescent="0.5">
      <c r="J288">
        <v>287</v>
      </c>
    </row>
    <row r="289" spans="10:10" x14ac:dyDescent="0.5">
      <c r="J289">
        <v>288</v>
      </c>
    </row>
    <row r="290" spans="10:10" x14ac:dyDescent="0.5">
      <c r="J290">
        <v>289</v>
      </c>
    </row>
    <row r="291" spans="10:10" x14ac:dyDescent="0.5">
      <c r="J291">
        <v>290</v>
      </c>
    </row>
    <row r="292" spans="10:10" x14ac:dyDescent="0.5">
      <c r="J292">
        <v>291</v>
      </c>
    </row>
    <row r="293" spans="10:10" x14ac:dyDescent="0.5">
      <c r="J293">
        <v>292</v>
      </c>
    </row>
    <row r="294" spans="10:10" x14ac:dyDescent="0.5">
      <c r="J294">
        <v>293</v>
      </c>
    </row>
    <row r="295" spans="10:10" x14ac:dyDescent="0.5">
      <c r="J295">
        <v>294</v>
      </c>
    </row>
    <row r="296" spans="10:10" x14ac:dyDescent="0.5">
      <c r="J296">
        <v>295</v>
      </c>
    </row>
    <row r="297" spans="10:10" x14ac:dyDescent="0.5">
      <c r="J297">
        <v>296</v>
      </c>
    </row>
    <row r="298" spans="10:10" x14ac:dyDescent="0.5">
      <c r="J298">
        <v>297</v>
      </c>
    </row>
    <row r="299" spans="10:10" x14ac:dyDescent="0.5">
      <c r="J299">
        <v>298</v>
      </c>
    </row>
    <row r="300" spans="10:10" x14ac:dyDescent="0.5">
      <c r="J300">
        <v>299</v>
      </c>
    </row>
    <row r="301" spans="10:10" x14ac:dyDescent="0.5">
      <c r="J301">
        <v>300</v>
      </c>
    </row>
    <row r="302" spans="10:10" x14ac:dyDescent="0.5">
      <c r="J302">
        <v>301</v>
      </c>
    </row>
    <row r="303" spans="10:10" x14ac:dyDescent="0.5">
      <c r="J303">
        <v>302</v>
      </c>
    </row>
    <row r="304" spans="10:10" x14ac:dyDescent="0.5">
      <c r="J304">
        <v>303</v>
      </c>
    </row>
    <row r="305" spans="10:10" x14ac:dyDescent="0.5">
      <c r="J305">
        <v>304</v>
      </c>
    </row>
    <row r="306" spans="10:10" x14ac:dyDescent="0.5">
      <c r="J306">
        <v>305</v>
      </c>
    </row>
    <row r="307" spans="10:10" x14ac:dyDescent="0.5">
      <c r="J307">
        <v>306</v>
      </c>
    </row>
    <row r="308" spans="10:10" x14ac:dyDescent="0.5">
      <c r="J308">
        <v>307</v>
      </c>
    </row>
    <row r="309" spans="10:10" x14ac:dyDescent="0.5">
      <c r="J309">
        <v>308</v>
      </c>
    </row>
    <row r="310" spans="10:10" x14ac:dyDescent="0.5">
      <c r="J310">
        <v>309</v>
      </c>
    </row>
    <row r="311" spans="10:10" x14ac:dyDescent="0.5">
      <c r="J311">
        <v>310</v>
      </c>
    </row>
    <row r="312" spans="10:10" x14ac:dyDescent="0.5">
      <c r="J312">
        <v>311</v>
      </c>
    </row>
    <row r="313" spans="10:10" x14ac:dyDescent="0.5">
      <c r="J313">
        <v>312</v>
      </c>
    </row>
    <row r="314" spans="10:10" x14ac:dyDescent="0.5">
      <c r="J314">
        <v>313</v>
      </c>
    </row>
    <row r="315" spans="10:10" x14ac:dyDescent="0.5">
      <c r="J315">
        <v>314</v>
      </c>
    </row>
    <row r="316" spans="10:10" x14ac:dyDescent="0.5">
      <c r="J316">
        <v>315</v>
      </c>
    </row>
    <row r="317" spans="10:10" x14ac:dyDescent="0.5">
      <c r="J317">
        <v>316</v>
      </c>
    </row>
    <row r="318" spans="10:10" x14ac:dyDescent="0.5">
      <c r="J318">
        <v>317</v>
      </c>
    </row>
    <row r="319" spans="10:10" x14ac:dyDescent="0.5">
      <c r="J319">
        <v>318</v>
      </c>
    </row>
    <row r="320" spans="10:10" x14ac:dyDescent="0.5">
      <c r="J320">
        <v>319</v>
      </c>
    </row>
    <row r="321" spans="10:10" x14ac:dyDescent="0.5">
      <c r="J321">
        <v>320</v>
      </c>
    </row>
    <row r="322" spans="10:10" x14ac:dyDescent="0.5">
      <c r="J322">
        <v>321</v>
      </c>
    </row>
    <row r="323" spans="10:10" x14ac:dyDescent="0.5">
      <c r="J323">
        <v>322</v>
      </c>
    </row>
    <row r="324" spans="10:10" x14ac:dyDescent="0.5">
      <c r="J324">
        <v>323</v>
      </c>
    </row>
    <row r="325" spans="10:10" x14ac:dyDescent="0.5">
      <c r="J325">
        <v>324</v>
      </c>
    </row>
    <row r="326" spans="10:10" x14ac:dyDescent="0.5">
      <c r="J326">
        <v>325</v>
      </c>
    </row>
    <row r="327" spans="10:10" x14ac:dyDescent="0.5">
      <c r="J327">
        <v>326</v>
      </c>
    </row>
    <row r="328" spans="10:10" x14ac:dyDescent="0.5">
      <c r="J328">
        <v>327</v>
      </c>
    </row>
    <row r="329" spans="10:10" x14ac:dyDescent="0.5">
      <c r="J329">
        <v>328</v>
      </c>
    </row>
    <row r="330" spans="10:10" x14ac:dyDescent="0.5">
      <c r="J330">
        <v>329</v>
      </c>
    </row>
    <row r="331" spans="10:10" x14ac:dyDescent="0.5">
      <c r="J331">
        <v>330</v>
      </c>
    </row>
    <row r="332" spans="10:10" x14ac:dyDescent="0.5">
      <c r="J332">
        <v>331</v>
      </c>
    </row>
    <row r="333" spans="10:10" x14ac:dyDescent="0.5">
      <c r="J333">
        <v>332</v>
      </c>
    </row>
    <row r="334" spans="10:10" x14ac:dyDescent="0.5">
      <c r="J334">
        <v>333</v>
      </c>
    </row>
    <row r="335" spans="10:10" x14ac:dyDescent="0.5">
      <c r="J335">
        <v>334</v>
      </c>
    </row>
    <row r="336" spans="10:10" x14ac:dyDescent="0.5">
      <c r="J336">
        <v>335</v>
      </c>
    </row>
    <row r="337" spans="10:10" x14ac:dyDescent="0.5">
      <c r="J337">
        <v>336</v>
      </c>
    </row>
    <row r="338" spans="10:10" x14ac:dyDescent="0.5">
      <c r="J338">
        <v>337</v>
      </c>
    </row>
    <row r="339" spans="10:10" x14ac:dyDescent="0.5">
      <c r="J339">
        <v>338</v>
      </c>
    </row>
    <row r="340" spans="10:10" x14ac:dyDescent="0.5">
      <c r="J340">
        <v>339</v>
      </c>
    </row>
    <row r="341" spans="10:10" x14ac:dyDescent="0.5">
      <c r="J341">
        <v>340</v>
      </c>
    </row>
    <row r="342" spans="10:10" x14ac:dyDescent="0.5">
      <c r="J342">
        <v>341</v>
      </c>
    </row>
    <row r="343" spans="10:10" x14ac:dyDescent="0.5">
      <c r="J343">
        <v>342</v>
      </c>
    </row>
    <row r="344" spans="10:10" x14ac:dyDescent="0.5">
      <c r="J344">
        <v>343</v>
      </c>
    </row>
    <row r="345" spans="10:10" x14ac:dyDescent="0.5">
      <c r="J345">
        <v>344</v>
      </c>
    </row>
    <row r="346" spans="10:10" x14ac:dyDescent="0.5">
      <c r="J346">
        <v>345</v>
      </c>
    </row>
    <row r="347" spans="10:10" x14ac:dyDescent="0.5">
      <c r="J347">
        <v>346</v>
      </c>
    </row>
    <row r="348" spans="10:10" x14ac:dyDescent="0.5">
      <c r="J348">
        <v>347</v>
      </c>
    </row>
    <row r="349" spans="10:10" x14ac:dyDescent="0.5">
      <c r="J349">
        <v>348</v>
      </c>
    </row>
    <row r="350" spans="10:10" x14ac:dyDescent="0.5">
      <c r="J350">
        <v>349</v>
      </c>
    </row>
    <row r="351" spans="10:10" x14ac:dyDescent="0.5">
      <c r="J351">
        <v>350</v>
      </c>
    </row>
    <row r="352" spans="10:10" x14ac:dyDescent="0.5">
      <c r="J352">
        <v>351</v>
      </c>
    </row>
    <row r="353" spans="10:10" x14ac:dyDescent="0.5">
      <c r="J353">
        <v>352</v>
      </c>
    </row>
    <row r="354" spans="10:10" x14ac:dyDescent="0.5">
      <c r="J354">
        <v>353</v>
      </c>
    </row>
    <row r="355" spans="10:10" x14ac:dyDescent="0.5">
      <c r="J355">
        <v>354</v>
      </c>
    </row>
    <row r="356" spans="10:10" x14ac:dyDescent="0.5">
      <c r="J356">
        <v>355</v>
      </c>
    </row>
    <row r="357" spans="10:10" x14ac:dyDescent="0.5">
      <c r="J357">
        <v>356</v>
      </c>
    </row>
    <row r="358" spans="10:10" x14ac:dyDescent="0.5">
      <c r="J358">
        <v>357</v>
      </c>
    </row>
    <row r="359" spans="10:10" x14ac:dyDescent="0.5">
      <c r="J359">
        <v>358</v>
      </c>
    </row>
    <row r="360" spans="10:10" x14ac:dyDescent="0.5">
      <c r="J360">
        <v>359</v>
      </c>
    </row>
    <row r="361" spans="10:10" x14ac:dyDescent="0.5">
      <c r="J361">
        <v>360</v>
      </c>
    </row>
    <row r="362" spans="10:10" x14ac:dyDescent="0.5">
      <c r="J362">
        <v>361</v>
      </c>
    </row>
    <row r="363" spans="10:10" x14ac:dyDescent="0.5">
      <c r="J363">
        <v>362</v>
      </c>
    </row>
    <row r="364" spans="10:10" x14ac:dyDescent="0.5">
      <c r="J364">
        <v>363</v>
      </c>
    </row>
    <row r="365" spans="10:10" x14ac:dyDescent="0.5">
      <c r="J365">
        <v>364</v>
      </c>
    </row>
    <row r="366" spans="10:10" x14ac:dyDescent="0.5">
      <c r="J366">
        <v>365</v>
      </c>
    </row>
    <row r="367" spans="10:10" x14ac:dyDescent="0.5">
      <c r="J367">
        <v>366</v>
      </c>
    </row>
    <row r="368" spans="10:10" x14ac:dyDescent="0.5">
      <c r="J368">
        <v>367</v>
      </c>
    </row>
    <row r="369" spans="10:10" x14ac:dyDescent="0.5">
      <c r="J369">
        <v>368</v>
      </c>
    </row>
    <row r="370" spans="10:10" x14ac:dyDescent="0.5">
      <c r="J370">
        <v>369</v>
      </c>
    </row>
    <row r="371" spans="10:10" x14ac:dyDescent="0.5">
      <c r="J371">
        <v>370</v>
      </c>
    </row>
    <row r="372" spans="10:10" x14ac:dyDescent="0.5">
      <c r="J372">
        <v>371</v>
      </c>
    </row>
    <row r="373" spans="10:10" x14ac:dyDescent="0.5">
      <c r="J373">
        <v>372</v>
      </c>
    </row>
    <row r="374" spans="10:10" x14ac:dyDescent="0.5">
      <c r="J374">
        <v>373</v>
      </c>
    </row>
    <row r="375" spans="10:10" x14ac:dyDescent="0.5">
      <c r="J375">
        <v>374</v>
      </c>
    </row>
    <row r="376" spans="10:10" x14ac:dyDescent="0.5">
      <c r="J376">
        <v>375</v>
      </c>
    </row>
    <row r="377" spans="10:10" x14ac:dyDescent="0.5">
      <c r="J377">
        <v>376</v>
      </c>
    </row>
    <row r="378" spans="10:10" x14ac:dyDescent="0.5">
      <c r="J378">
        <v>377</v>
      </c>
    </row>
    <row r="379" spans="10:10" x14ac:dyDescent="0.5">
      <c r="J379">
        <v>378</v>
      </c>
    </row>
    <row r="380" spans="10:10" x14ac:dyDescent="0.5">
      <c r="J380">
        <v>379</v>
      </c>
    </row>
    <row r="381" spans="10:10" x14ac:dyDescent="0.5">
      <c r="J381">
        <v>380</v>
      </c>
    </row>
    <row r="382" spans="10:10" x14ac:dyDescent="0.5">
      <c r="J382">
        <v>381</v>
      </c>
    </row>
    <row r="383" spans="10:10" x14ac:dyDescent="0.5">
      <c r="J383">
        <v>382</v>
      </c>
    </row>
    <row r="384" spans="10:10" x14ac:dyDescent="0.5">
      <c r="J384">
        <v>383</v>
      </c>
    </row>
    <row r="385" spans="10:10" x14ac:dyDescent="0.5">
      <c r="J385">
        <v>384</v>
      </c>
    </row>
    <row r="386" spans="10:10" x14ac:dyDescent="0.5">
      <c r="J386">
        <v>385</v>
      </c>
    </row>
    <row r="387" spans="10:10" x14ac:dyDescent="0.5">
      <c r="J387">
        <v>386</v>
      </c>
    </row>
    <row r="388" spans="10:10" x14ac:dyDescent="0.5">
      <c r="J388">
        <v>387</v>
      </c>
    </row>
    <row r="389" spans="10:10" x14ac:dyDescent="0.5">
      <c r="J389">
        <v>388</v>
      </c>
    </row>
    <row r="390" spans="10:10" x14ac:dyDescent="0.5">
      <c r="J390">
        <v>389</v>
      </c>
    </row>
    <row r="391" spans="10:10" x14ac:dyDescent="0.5">
      <c r="J391">
        <v>390</v>
      </c>
    </row>
    <row r="392" spans="10:10" x14ac:dyDescent="0.5">
      <c r="J392">
        <v>391</v>
      </c>
    </row>
    <row r="393" spans="10:10" x14ac:dyDescent="0.5">
      <c r="J393">
        <v>392</v>
      </c>
    </row>
    <row r="394" spans="10:10" x14ac:dyDescent="0.5">
      <c r="J394">
        <v>393</v>
      </c>
    </row>
    <row r="395" spans="10:10" x14ac:dyDescent="0.5">
      <c r="J395">
        <v>394</v>
      </c>
    </row>
    <row r="396" spans="10:10" x14ac:dyDescent="0.5">
      <c r="J396">
        <v>395</v>
      </c>
    </row>
    <row r="397" spans="10:10" x14ac:dyDescent="0.5">
      <c r="J397">
        <v>396</v>
      </c>
    </row>
    <row r="398" spans="10:10" x14ac:dyDescent="0.5">
      <c r="J398">
        <v>397</v>
      </c>
    </row>
    <row r="399" spans="10:10" x14ac:dyDescent="0.5">
      <c r="J399">
        <v>398</v>
      </c>
    </row>
    <row r="400" spans="10:10" x14ac:dyDescent="0.5">
      <c r="J400">
        <v>399</v>
      </c>
    </row>
    <row r="401" spans="10:10" x14ac:dyDescent="0.5">
      <c r="J401">
        <v>400</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6110BF3E739F84BA1FD811A85DF08FE" ma:contentTypeVersion="8" ma:contentTypeDescription="Crée un document." ma:contentTypeScope="" ma:versionID="ed2591b5c293a8e317590c1fd7c92002">
  <xsd:schema xmlns:xsd="http://www.w3.org/2001/XMLSchema" xmlns:xs="http://www.w3.org/2001/XMLSchema" xmlns:p="http://schemas.microsoft.com/office/2006/metadata/properties" xmlns:ns2="222529e9-bc13-491f-b28a-826aeca3d85a" targetNamespace="http://schemas.microsoft.com/office/2006/metadata/properties" ma:root="true" ma:fieldsID="ed41e1615223e4ccc6b5a1bc6b0b4ed0" ns2:_="">
    <xsd:import namespace="222529e9-bc13-491f-b28a-826aeca3d85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2529e9-bc13-491f-b28a-826aeca3d8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D82559A-2BE8-4AB8-8F20-928C5FAA0AB2}">
  <ds:schemaRefs>
    <ds:schemaRef ds:uri="http://schemas.microsoft.com/sharepoint/v3/contenttype/forms"/>
  </ds:schemaRefs>
</ds:datastoreItem>
</file>

<file path=customXml/itemProps2.xml><?xml version="1.0" encoding="utf-8"?>
<ds:datastoreItem xmlns:ds="http://schemas.openxmlformats.org/officeDocument/2006/customXml" ds:itemID="{256978B0-7847-402E-B1E4-6B176B925BD6}"/>
</file>

<file path=customXml/itemProps3.xml><?xml version="1.0" encoding="utf-8"?>
<ds:datastoreItem xmlns:ds="http://schemas.openxmlformats.org/officeDocument/2006/customXml" ds:itemID="{B168515F-CB16-4341-B4D8-B8C8A7E2A290}">
  <ds:schemaRefs>
    <ds:schemaRef ds:uri="http://schemas.microsoft.com/office/2006/metadata/properties"/>
    <ds:schemaRef ds:uri="http://schemas.microsoft.com/office/infopath/2007/PartnerControls"/>
    <ds:schemaRef ds:uri="ca98a215-3418-4f55-8af1-d18a8ca72761"/>
    <ds:schemaRef ds:uri="eb7e2eb6-e8a7-4c0e-873d-4a5fa855e9e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4</vt:i4>
      </vt:variant>
    </vt:vector>
  </HeadingPairs>
  <TitlesOfParts>
    <vt:vector size="6" baseType="lpstr">
      <vt:lpstr>Reporting form</vt:lpstr>
      <vt:lpstr>Data</vt:lpstr>
      <vt:lpstr>D</vt:lpstr>
      <vt:lpstr>DA</vt:lpstr>
      <vt:lpstr>DB</vt:lpstr>
      <vt:lpstr>dc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Laurent Bouyssou</dc:creator>
  <cp:keywords/>
  <dc:description/>
  <cp:lastModifiedBy>Yasmin PONCE COBOS</cp:lastModifiedBy>
  <cp:revision/>
  <cp:lastPrinted>2026-03-13T13:39:00Z</cp:lastPrinted>
  <dcterms:created xsi:type="dcterms:W3CDTF">2024-09-02T16:32:38Z</dcterms:created>
  <dcterms:modified xsi:type="dcterms:W3CDTF">2026-03-17T11:02:11Z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0x01010086110BF3E739F84BA1FD811A85DF08FE</vt:lpwstr>
  </property>
  <property fmtid="{D5CDD505-2E9C-101B-9397-08002B2CF9AE}" pid="4" name="Order">
    <vt:r8>18175900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